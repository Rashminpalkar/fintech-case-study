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FINTECH with AI\Projects\Module-2 Graded Project\fintech-case-study\02_spreadsheet\"/>
    </mc:Choice>
  </mc:AlternateContent>
  <xr:revisionPtr revIDLastSave="0" documentId="13_ncr:1_{CB47C8D9-B28B-4ADF-8B33-FF557CBF328B}" xr6:coauthVersionLast="47" xr6:coauthVersionMax="47" xr10:uidLastSave="{00000000-0000-0000-0000-000000000000}"/>
  <bookViews>
    <workbookView xWindow="-108" yWindow="-108" windowWidth="23256" windowHeight="12456" firstSheet="4" activeTab="6" xr2:uid="{868D77B7-F047-41D1-8C4B-7698EFEC565A}"/>
  </bookViews>
  <sheets>
    <sheet name="raw_data" sheetId="3" r:id="rId1"/>
    <sheet name="cleaned_data" sheetId="1" r:id="rId2"/>
    <sheet name="enriched_data" sheetId="4" r:id="rId3"/>
    <sheet name="merchant_master" sheetId="6" r:id="rId4"/>
    <sheet name="exchange_rates" sheetId="8" r:id="rId5"/>
    <sheet name="cleaned_transactions_export" sheetId="9" r:id="rId6"/>
    <sheet name="merchant_risk_summary" sheetId="10" r:id="rId7"/>
    <sheet name="merchant_risk_summary_export" sheetId="11" r:id="rId8"/>
  </sheets>
  <definedNames>
    <definedName name="_xlnm._FilterDatabase" localSheetId="1" hidden="1">cleaned_data!$A$1:$J$31</definedName>
    <definedName name="_xlnm._FilterDatabase" localSheetId="2" hidden="1">enriched_data!$A$1:$O$31</definedName>
    <definedName name="ExternalData_1" localSheetId="4" hidden="1">exchange_rates!$A$1:$C$19</definedName>
    <definedName name="ExternalData_1" localSheetId="3" hidden="1">merchant_master!$A$1:$H$6</definedName>
    <definedName name="ExternalData_1" localSheetId="0" hidden="1">raw_data!$A$1:$J$31</definedName>
  </definedNames>
  <calcPr calcId="191029"/>
  <pivotCaches>
    <pivotCache cacheId="1" r:id="rId9"/>
    <pivotCache cacheId="1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2" i="4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M3" i="4"/>
  <c r="M4" i="4"/>
  <c r="M7" i="4"/>
  <c r="M9" i="4"/>
  <c r="M12" i="4"/>
  <c r="M13" i="4"/>
  <c r="M14" i="4"/>
  <c r="M17" i="4"/>
  <c r="M18" i="4"/>
  <c r="M19" i="4"/>
  <c r="M20" i="4"/>
  <c r="M22" i="4"/>
  <c r="M23" i="4"/>
  <c r="M24" i="4"/>
  <c r="M25" i="4"/>
  <c r="M26" i="4"/>
  <c r="M27" i="4"/>
  <c r="M28" i="4"/>
  <c r="M29" i="4"/>
  <c r="M30" i="4"/>
  <c r="E2" i="6"/>
  <c r="E3" i="6"/>
  <c r="E4" i="6"/>
  <c r="E5" i="6"/>
  <c r="E6" i="6"/>
  <c r="D2" i="6"/>
  <c r="D3" i="6"/>
  <c r="D4" i="6"/>
  <c r="D5" i="6"/>
  <c r="D6" i="6"/>
  <c r="C2" i="6"/>
  <c r="C3" i="6"/>
  <c r="C4" i="6"/>
  <c r="C5" i="6"/>
  <c r="C6" i="6"/>
  <c r="B3" i="4"/>
  <c r="B4" i="4"/>
  <c r="B5" i="4"/>
  <c r="B6" i="4"/>
  <c r="B7" i="4"/>
  <c r="B8" i="4"/>
  <c r="B9" i="4"/>
  <c r="B10" i="4"/>
  <c r="G10" i="4" s="1"/>
  <c r="H10" i="4" s="1"/>
  <c r="B11" i="4"/>
  <c r="B12" i="4"/>
  <c r="B13" i="4"/>
  <c r="B14" i="4"/>
  <c r="B15" i="4"/>
  <c r="B16" i="4"/>
  <c r="G16" i="4" s="1"/>
  <c r="H16" i="4" s="1"/>
  <c r="B17" i="4"/>
  <c r="B18" i="4"/>
  <c r="G18" i="4" s="1"/>
  <c r="H18" i="4" s="1"/>
  <c r="B19" i="4"/>
  <c r="B20" i="4"/>
  <c r="B21" i="4"/>
  <c r="B22" i="4"/>
  <c r="B23" i="4"/>
  <c r="B24" i="4"/>
  <c r="B25" i="4"/>
  <c r="B26" i="4"/>
  <c r="G26" i="4" s="1"/>
  <c r="H26" i="4" s="1"/>
  <c r="B27" i="4"/>
  <c r="B28" i="4"/>
  <c r="B29" i="4"/>
  <c r="B30" i="4"/>
  <c r="B3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G17" i="4" s="1"/>
  <c r="H17" i="4" s="1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C3" i="4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10" i="4"/>
  <c r="D10" i="4" s="1"/>
  <c r="C11" i="4"/>
  <c r="M11" i="4" s="1"/>
  <c r="C12" i="4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B2" i="4"/>
  <c r="G2" i="4" s="1"/>
  <c r="H2" i="4" s="1"/>
  <c r="C2" i="4"/>
  <c r="M2" i="4" s="1"/>
  <c r="E2" i="4"/>
  <c r="F2" i="4"/>
  <c r="J2" i="4"/>
  <c r="K2" i="4"/>
  <c r="N2" i="4"/>
  <c r="O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B2" i="1"/>
  <c r="D2" i="1"/>
  <c r="E2" i="1"/>
  <c r="I2" i="1"/>
  <c r="J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  <c r="I18" i="4" l="1"/>
  <c r="P18" i="4" s="1"/>
  <c r="I10" i="4"/>
  <c r="I2" i="4"/>
  <c r="P2" i="4" s="1"/>
  <c r="I26" i="4"/>
  <c r="P26" i="4" s="1"/>
  <c r="I17" i="4"/>
  <c r="P17" i="4" s="1"/>
  <c r="I16" i="4"/>
  <c r="G8" i="4"/>
  <c r="H8" i="4" s="1"/>
  <c r="I8" i="4" s="1"/>
  <c r="G24" i="4"/>
  <c r="H24" i="4" s="1"/>
  <c r="I24" i="4" s="1"/>
  <c r="P24" i="4" s="1"/>
  <c r="G25" i="4"/>
  <c r="H25" i="4" s="1"/>
  <c r="I25" i="4" s="1"/>
  <c r="P25" i="4" s="1"/>
  <c r="G9" i="4"/>
  <c r="H9" i="4" s="1"/>
  <c r="I9" i="4" s="1"/>
  <c r="P9" i="4" s="1"/>
  <c r="G31" i="4"/>
  <c r="H31" i="4" s="1"/>
  <c r="I31" i="4" s="1"/>
  <c r="G23" i="4"/>
  <c r="H23" i="4" s="1"/>
  <c r="I23" i="4" s="1"/>
  <c r="P23" i="4" s="1"/>
  <c r="G15" i="4"/>
  <c r="H15" i="4" s="1"/>
  <c r="I15" i="4" s="1"/>
  <c r="G7" i="4"/>
  <c r="H7" i="4" s="1"/>
  <c r="I7" i="4" s="1"/>
  <c r="P7" i="4" s="1"/>
  <c r="G30" i="4"/>
  <c r="H30" i="4" s="1"/>
  <c r="I30" i="4" s="1"/>
  <c r="P30" i="4" s="1"/>
  <c r="G22" i="4"/>
  <c r="H22" i="4" s="1"/>
  <c r="I22" i="4" s="1"/>
  <c r="P22" i="4" s="1"/>
  <c r="G14" i="4"/>
  <c r="H14" i="4" s="1"/>
  <c r="I14" i="4" s="1"/>
  <c r="P14" i="4" s="1"/>
  <c r="G6" i="4"/>
  <c r="H6" i="4" s="1"/>
  <c r="I6" i="4" s="1"/>
  <c r="G29" i="4"/>
  <c r="H29" i="4" s="1"/>
  <c r="I29" i="4" s="1"/>
  <c r="P29" i="4" s="1"/>
  <c r="G21" i="4"/>
  <c r="H21" i="4" s="1"/>
  <c r="I21" i="4" s="1"/>
  <c r="G13" i="4"/>
  <c r="H13" i="4" s="1"/>
  <c r="I13" i="4" s="1"/>
  <c r="P13" i="4" s="1"/>
  <c r="G5" i="4"/>
  <c r="H5" i="4" s="1"/>
  <c r="I5" i="4" s="1"/>
  <c r="G28" i="4"/>
  <c r="H28" i="4" s="1"/>
  <c r="I28" i="4" s="1"/>
  <c r="P28" i="4" s="1"/>
  <c r="G20" i="4"/>
  <c r="H20" i="4" s="1"/>
  <c r="I20" i="4" s="1"/>
  <c r="P20" i="4" s="1"/>
  <c r="G12" i="4"/>
  <c r="H12" i="4" s="1"/>
  <c r="I12" i="4" s="1"/>
  <c r="P12" i="4" s="1"/>
  <c r="G4" i="4"/>
  <c r="H4" i="4" s="1"/>
  <c r="I4" i="4" s="1"/>
  <c r="P4" i="4" s="1"/>
  <c r="G27" i="4"/>
  <c r="H27" i="4" s="1"/>
  <c r="I27" i="4" s="1"/>
  <c r="P27" i="4" s="1"/>
  <c r="G19" i="4"/>
  <c r="H19" i="4" s="1"/>
  <c r="I19" i="4" s="1"/>
  <c r="P19" i="4" s="1"/>
  <c r="G11" i="4"/>
  <c r="H11" i="4" s="1"/>
  <c r="I11" i="4" s="1"/>
  <c r="P11" i="4" s="1"/>
  <c r="G3" i="4"/>
  <c r="H3" i="4" s="1"/>
  <c r="I3" i="4" s="1"/>
  <c r="P3" i="4" s="1"/>
  <c r="M6" i="4"/>
  <c r="M8" i="4"/>
  <c r="M31" i="4"/>
  <c r="M15" i="4"/>
  <c r="P15" i="4" s="1"/>
  <c r="M21" i="4"/>
  <c r="P21" i="4" s="1"/>
  <c r="M5" i="4"/>
  <c r="P5" i="4" s="1"/>
  <c r="M16" i="4"/>
  <c r="P16" i="4" s="1"/>
  <c r="M10" i="4"/>
  <c r="D3" i="4"/>
  <c r="D11" i="4"/>
  <c r="D12" i="4"/>
  <c r="D2" i="4"/>
  <c r="P31" i="4" l="1"/>
  <c r="P6" i="4"/>
  <c r="P8" i="4"/>
  <c r="P1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6348A9-0125-4E2E-89D5-02E6587A9865}" keepAlive="1" name="Query - exchange_rates" description="Connection to the 'exchange_rates' query in the workbook." type="5" refreshedVersion="8" background="1" saveData="1">
    <dbPr connection="Provider=Microsoft.Mashup.OleDb.1;Data Source=$Workbook$;Location=exchange_rates;Extended Properties=&quot;&quot;" command="SELECT * FROM [exchange_rates]"/>
  </connection>
  <connection id="2" xr16:uid="{6CD9204B-4657-4FC8-90B4-F35B9A87280A}" keepAlive="1" name="Query - merchant_master" description="Connection to the 'merchant_master' query in the workbook." type="5" refreshedVersion="8" background="1" saveData="1">
    <dbPr connection="Provider=Microsoft.Mashup.OleDb.1;Data Source=$Workbook$;Location=merchant_master;Extended Properties=&quot;&quot;" command="SELECT * FROM [merchant_master]"/>
  </connection>
  <connection id="3" xr16:uid="{106C6927-59CA-435B-9540-9BE09E57ABA7}" keepAlive="1" name="Query - transactions_raw" description="Connection to the 'transactions_raw' query in the workbook." type="5" refreshedVersion="0" background="1">
    <dbPr connection="Provider=Microsoft.Mashup.OleDb.1;Data Source=$Workbook$;Location=transactions_raw;Extended Properties=&quot;&quot;" command="SELECT * FROM [transactions_raw]"/>
  </connection>
  <connection id="4" xr16:uid="{86A05977-28D0-46CC-9D9C-C712AC2022FD}" keepAlive="1" name="Query - transactions_raw (2)" description="Connection to the 'transactions_raw (2)' query in the workbook." type="5" refreshedVersion="8" background="1" saveData="1">
    <dbPr connection="Provider=Microsoft.Mashup.OleDb.1;Data Source=$Workbook$;Location=&quot;transactions_raw (2)&quot;;Extended Properties=&quot;&quot;" command="SELECT * FROM [transactions_raw (2)]"/>
  </connection>
</connections>
</file>

<file path=xl/sharedStrings.xml><?xml version="1.0" encoding="utf-8"?>
<sst xmlns="http://schemas.openxmlformats.org/spreadsheetml/2006/main" count="631" uniqueCount="161">
  <si>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</si>
  <si>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</si>
  <si>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</si>
  <si>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</si>
  <si>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</si>
  <si>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</si>
  <si>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</si>
  <si>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</si>
  <si>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</si>
  <si>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</si>
  <si>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</si>
  <si>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</si>
  <si>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</si>
  <si>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</si>
  <si>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</si>
  <si>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</si>
  <si>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</si>
  <si>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</si>
  <si>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</si>
  <si>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</si>
  <si>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</si>
  <si>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55</t>
  </si>
  <si>
    <t/>
  </si>
  <si>
    <t>U002</t>
  </si>
  <si>
    <t>Card</t>
  </si>
  <si>
    <t>T003</t>
  </si>
  <si>
    <t xml:space="preserve">BETA STORES </t>
  </si>
  <si>
    <t xml:space="preserve"> CAPTURED</t>
  </si>
  <si>
    <t>71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</si>
  <si>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</si>
  <si>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</si>
  <si>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</si>
  <si>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</si>
  <si>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</si>
  <si>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</si>
  <si>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68</t>
  </si>
  <si>
    <t>apac</t>
  </si>
  <si>
    <t>U004</t>
  </si>
  <si>
    <t>T005</t>
  </si>
  <si>
    <t>Alpha Mart</t>
  </si>
  <si>
    <t xml:space="preserve">58 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</si>
  <si>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</si>
  <si>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</si>
  <si>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</si>
  <si>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</si>
  <si>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</si>
  <si>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</si>
  <si>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</si>
  <si>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</si>
  <si>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</si>
  <si>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</si>
  <si>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 xml:space="preserve">59 </t>
  </si>
  <si>
    <t>U007</t>
  </si>
  <si>
    <t>T009</t>
  </si>
  <si>
    <t>46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</si>
  <si>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</si>
  <si>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</si>
  <si>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</si>
  <si>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</si>
  <si>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</si>
  <si>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</si>
  <si>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</si>
  <si>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</si>
  <si>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</si>
  <si>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</si>
  <si>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</si>
  <si>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</si>
  <si>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</si>
  <si>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</si>
  <si>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</si>
  <si>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</si>
  <si>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</si>
  <si>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</si>
  <si>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</si>
  <si>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</si>
  <si>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</si>
  <si>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</si>
  <si>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</si>
  <si>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</si>
  <si>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</si>
  <si>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</si>
  <si>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</si>
  <si>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</si>
  <si>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</si>
  <si>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 xml:space="preserve">75 </t>
  </si>
  <si>
    <t>T021</t>
  </si>
  <si>
    <t xml:space="preserve"> beta stores</t>
  </si>
  <si>
    <t>score:63</t>
  </si>
  <si>
    <t>T022</t>
  </si>
  <si>
    <t xml:space="preserve">60 </t>
  </si>
  <si>
    <t>T023</t>
  </si>
  <si>
    <t>City Pharma</t>
  </si>
  <si>
    <t>EUR</t>
  </si>
  <si>
    <t>42</t>
  </si>
  <si>
    <t xml:space="preserve"> EU </t>
  </si>
  <si>
    <t>T024</t>
  </si>
  <si>
    <t>Eco Home</t>
  </si>
  <si>
    <t>score:65</t>
  </si>
  <si>
    <t>EU</t>
  </si>
  <si>
    <t>T025</t>
  </si>
  <si>
    <t xml:space="preserve">38 </t>
  </si>
  <si>
    <t>eu</t>
  </si>
  <si>
    <t>T026</t>
  </si>
  <si>
    <t>44</t>
  </si>
  <si>
    <t>T027</t>
  </si>
  <si>
    <t>DELTA TRAVELS</t>
  </si>
  <si>
    <t>USD</t>
  </si>
  <si>
    <t xml:space="preserve">49 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</si>
  <si>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</si>
  <si>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</si>
  <si>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</si>
  <si>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</si>
  <si>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</si>
  <si>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</si>
  <si>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</si>
  <si>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</si>
  <si>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</si>
  <si>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</si>
  <si>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</si>
  <si>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</si>
  <si>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</si>
  <si>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</si>
  <si>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</si>
  <si>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</si>
  <si>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</si>
  <si>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</si>
  <si>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</si>
  <si>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</si>
  <si>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</si>
  <si>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</si>
  <si>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</si>
  <si>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</si>
  <si>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</si>
  <si>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</si>
  <si>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</si>
  <si>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</si>
  <si>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</si>
  <si>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merchant_id_copy</t>
  </si>
  <si>
    <t>clean_merchant_name</t>
  </si>
  <si>
    <t>clean_default_region</t>
  </si>
  <si>
    <t>final_gateway_region</t>
  </si>
  <si>
    <t>rate_date</t>
  </si>
  <si>
    <t>usd_rate</t>
  </si>
  <si>
    <t>rate_date_&amp;_usd_rate</t>
  </si>
  <si>
    <t>usd_rate_copy</t>
  </si>
  <si>
    <t>lookup_key</t>
  </si>
  <si>
    <t>usd_exchange_rates</t>
  </si>
  <si>
    <t>high_value_flag</t>
  </si>
  <si>
    <t>high_risk_flag</t>
  </si>
  <si>
    <t>amount_usd</t>
  </si>
  <si>
    <t>Captured</t>
  </si>
  <si>
    <t>Chargeback</t>
  </si>
  <si>
    <t>Grand Total</t>
  </si>
  <si>
    <t>total_transactions</t>
  </si>
  <si>
    <t>average_risk_score</t>
  </si>
  <si>
    <t>high_risk_txn_count</t>
  </si>
  <si>
    <t>high_value_txn_count</t>
  </si>
  <si>
    <t>Region-wise Summary</t>
  </si>
  <si>
    <t>Merchant Risk Summary</t>
  </si>
  <si>
    <t>Gateway_region</t>
  </si>
  <si>
    <t>total_gvm_usd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</si>
</sst>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2" fontId="1" fillId="2" borderId="2" xfId="0" applyNumberFormat="1" applyFont="1" applyFill="1" applyBorder="1"/>
    <xf numFmtId="2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4"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9.926134606481" createdVersion="8" refreshedVersion="8" minRefreshableVersion="3" recordCount="30" xr:uid="{D8C16F79-92DC-4C3B-98CD-339083B517D9}">
  <cacheSource type="worksheet">
    <worksheetSource name="Table1"/>
  </cacheSource>
  <cacheFields count="15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merchant_id" numFmtId="0">
      <sharedItems count="5">
        <s v="M001"/>
        <s v="M002"/>
        <s v="M003"/>
        <s v="M005"/>
        <s v="M004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usd_rate" numFmtId="0">
      <sharedItems containsSemiMixedTypes="0" containsString="0" containsNumber="1" minValue="1.18E-2" maxValue="1.0900000000000001"/>
    </cacheField>
    <cacheField name="amount_usd" numFmtId="2">
      <sharedItems containsSemiMixedTypes="0" containsString="0" containsNumber="1" minValue="1512.5" maxValue="7381"/>
    </cacheField>
    <cacheField name="status" numFmtId="0">
      <sharedItems/>
    </cacheField>
    <cacheField name="risk_score" numFmtId="0">
      <sharedItems containsMixedTypes="1" containsNumber="1" containsInteger="1" minValue="38" maxValue="86"/>
    </cacheField>
    <cacheField name="gateway_region" numFmtId="0">
      <sharedItems count="3">
        <s v="APAC"/>
        <s v="EU"/>
        <s v="US"/>
      </sharedItems>
    </cacheField>
    <cacheField name="user_id" numFmtId="0">
      <sharedItems/>
    </cacheField>
    <cacheField name="payment_method" numFmtId="0">
      <sharedItems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50.504442824073" createdVersion="8" refreshedVersion="8" minRefreshableVersion="3" recordCount="30" xr:uid="{48413B3D-7CFA-4824-A81D-80F06D2E7825}">
  <cacheSource type="worksheet">
    <worksheetSource ref="A1:Q31" sheet="enriched_data"/>
  </cacheSource>
  <cacheFields count="17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/>
    </cacheField>
    <cacheField name="merchant_id" numFmtId="0">
      <sharedItems/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lookup_key" numFmtId="0">
      <sharedItems/>
    </cacheField>
    <cacheField name="usd_exchange_rates" numFmtId="0">
      <sharedItems containsSemiMixedTypes="0" containsString="0" containsNumber="1" minValue="1.18E-2" maxValue="1.0900000000000001"/>
    </cacheField>
    <cacheField name="amount_usd" numFmtId="2">
      <sharedItems containsSemiMixedTypes="0" containsString="0" containsNumber="1" minValue="1512.5" maxValue="7381"/>
    </cacheField>
    <cacheField name="status" numFmtId="0">
      <sharedItems/>
    </cacheField>
    <cacheField name="risk_score" numFmtId="0">
      <sharedItems containsMixedTypes="1" containsNumber="1" containsInteger="1" minValue="38" maxValue="86"/>
    </cacheField>
    <cacheField name="gateway_region" numFmtId="0">
      <sharedItems/>
    </cacheField>
    <cacheField name="final_gateway_region" numFmtId="0">
      <sharedItems count="3">
        <s v="APAC"/>
        <s v="EU"/>
        <s v="US"/>
      </sharedItems>
    </cacheField>
    <cacheField name="user_id" numFmtId="0">
      <sharedItems/>
    </cacheField>
    <cacheField name="payment_method" numFmtId="0">
      <sharedItems/>
    </cacheField>
    <cacheField name="high_value_flag" numFmtId="0">
      <sharedItems containsSemiMixedTypes="0" containsString="0" containsNumber="1" containsInteger="1" minValue="0" maxValue="1"/>
    </cacheField>
    <cacheField name="high_risk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x v="0"/>
    <x v="0"/>
    <n v="420000"/>
    <s v="INR"/>
    <n v="1.1900000000000001E-2"/>
    <n v="4998"/>
    <s v="Captured"/>
    <n v="62"/>
    <x v="0"/>
    <s v="U001"/>
    <s v="UPI"/>
    <n v="0"/>
    <n v="0"/>
  </r>
  <r>
    <s v="T002"/>
    <d v="2026-03-01T00:00:00"/>
    <x v="0"/>
    <x v="0"/>
    <n v="210000"/>
    <s v="INR"/>
    <n v="1.1900000000000001E-2"/>
    <n v="2499"/>
    <s v="Captured"/>
    <n v="55"/>
    <x v="0"/>
    <s v="U002"/>
    <s v="Card"/>
    <n v="0"/>
    <n v="0"/>
  </r>
  <r>
    <s v="T003"/>
    <d v="2026-03-01T00:00:00"/>
    <x v="1"/>
    <x v="1"/>
    <n v="510000"/>
    <s v="INR"/>
    <n v="1.1900000000000001E-2"/>
    <n v="6069"/>
    <s v="Captured"/>
    <n v="71"/>
    <x v="0"/>
    <s v="U003"/>
    <s v="NetBanking"/>
    <n v="1"/>
    <n v="1"/>
  </r>
  <r>
    <s v="T004"/>
    <d v="2026-03-02T00:00:00"/>
    <x v="1"/>
    <x v="1"/>
    <n v="160000"/>
    <s v="INR"/>
    <n v="1.2E-2"/>
    <n v="1920"/>
    <s v="Failed E05 Timeout"/>
    <n v="68"/>
    <x v="0"/>
    <s v="U004"/>
    <s v="Card"/>
    <n v="0"/>
    <n v="0"/>
  </r>
  <r>
    <s v="T005"/>
    <d v="2026-03-02T00:00:00"/>
    <x v="0"/>
    <x v="0"/>
    <n v="390000"/>
    <s v="INR"/>
    <n v="1.2E-2"/>
    <n v="4680"/>
    <s v="Captured"/>
    <n v="58"/>
    <x v="0"/>
    <s v="U001"/>
    <s v="UPI"/>
    <n v="0"/>
    <n v="0"/>
  </r>
  <r>
    <s v="T006"/>
    <d v="2026-03-02T00:00:00"/>
    <x v="1"/>
    <x v="1"/>
    <n v="275000"/>
    <s v="INR"/>
    <n v="1.2E-2"/>
    <n v="3300"/>
    <s v="Captured"/>
    <n v="64"/>
    <x v="0"/>
    <s v="U005"/>
    <s v="Wallet"/>
    <n v="0"/>
    <n v="0"/>
  </r>
  <r>
    <s v="T007"/>
    <d v="2026-03-02T00:00:00"/>
    <x v="0"/>
    <x v="0"/>
    <n v="450000"/>
    <s v="INR"/>
    <n v="1.2E-2"/>
    <n v="5400"/>
    <s v="Chargeback"/>
    <n v="83"/>
    <x v="0"/>
    <s v="U006"/>
    <s v="Card"/>
    <n v="1"/>
    <n v="1"/>
  </r>
  <r>
    <s v="T008"/>
    <d v="2026-03-03T00:00:00"/>
    <x v="1"/>
    <x v="1"/>
    <n v="340000"/>
    <s v="INR"/>
    <n v="1.21E-2"/>
    <n v="4114"/>
    <s v="Captured"/>
    <n v="59"/>
    <x v="0"/>
    <s v="U007"/>
    <s v="UPI"/>
    <n v="0"/>
    <n v="0"/>
  </r>
  <r>
    <s v="T009"/>
    <d v="2026-03-03T00:00:00"/>
    <x v="0"/>
    <x v="0"/>
    <n v="125000"/>
    <s v="INR"/>
    <n v="1.21E-2"/>
    <n v="1512.5"/>
    <s v="Captured"/>
    <n v="46"/>
    <x v="0"/>
    <s v="U002"/>
    <s v="Wallet"/>
    <n v="0"/>
    <n v="0"/>
  </r>
  <r>
    <s v="T010"/>
    <d v="2026-03-03T00:00:00"/>
    <x v="1"/>
    <x v="1"/>
    <n v="610000"/>
    <s v="INR"/>
    <n v="1.21E-2"/>
    <n v="7381"/>
    <s v="Captured"/>
    <n v="77"/>
    <x v="0"/>
    <s v="U003"/>
    <s v="Card"/>
    <n v="1"/>
    <n v="1"/>
  </r>
  <r>
    <s v="T011"/>
    <d v="2026-03-03T00:00:00"/>
    <x v="0"/>
    <x v="0"/>
    <n v="195000"/>
    <s v="INR"/>
    <n v="1.21E-2"/>
    <n v="2359.5"/>
    <s v="Failed E05 Timeout"/>
    <s v=""/>
    <x v="0"/>
    <s v="U008"/>
    <s v="UPI"/>
    <n v="0"/>
    <n v="1"/>
  </r>
  <r>
    <s v="T012"/>
    <d v="2026-03-04T00:00:00"/>
    <x v="1"/>
    <x v="1"/>
    <n v="250000"/>
    <s v="INR"/>
    <n v="1.2E-2"/>
    <n v="3000"/>
    <s v="Captured"/>
    <n v="61"/>
    <x v="0"/>
    <s v="U009"/>
    <s v="Card"/>
    <n v="0"/>
    <n v="0"/>
  </r>
  <r>
    <s v="T013"/>
    <d v="2026-03-04T00:00:00"/>
    <x v="0"/>
    <x v="0"/>
    <n v="310000"/>
    <s v="INR"/>
    <n v="1.2E-2"/>
    <n v="3720"/>
    <s v="Captured"/>
    <n v="54"/>
    <x v="0"/>
    <s v="U010"/>
    <s v="UPI"/>
    <n v="0"/>
    <n v="0"/>
  </r>
  <r>
    <s v="T014"/>
    <d v="2026-03-04T00:00:00"/>
    <x v="1"/>
    <x v="1"/>
    <n v="470000"/>
    <s v="INR"/>
    <n v="1.2E-2"/>
    <n v="5640"/>
    <s v="Captured"/>
    <n v="73"/>
    <x v="0"/>
    <s v="U001"/>
    <s v="NetBanking"/>
    <n v="1"/>
    <n v="1"/>
  </r>
  <r>
    <s v="T015"/>
    <d v="2026-03-04T00:00:00"/>
    <x v="0"/>
    <x v="0"/>
    <n v="130000"/>
    <s v="INR"/>
    <n v="1.2E-2"/>
    <n v="1560"/>
    <s v="Captured"/>
    <n v="52"/>
    <x v="0"/>
    <s v="U002"/>
    <s v="Card"/>
    <n v="0"/>
    <n v="0"/>
  </r>
  <r>
    <s v="T016"/>
    <d v="2026-03-05T00:00:00"/>
    <x v="1"/>
    <x v="1"/>
    <n v="220000"/>
    <s v="INR"/>
    <n v="1.18E-2"/>
    <n v="2596"/>
    <s v="Failed E05 Timeout"/>
    <n v="69"/>
    <x v="0"/>
    <s v="U008"/>
    <s v="Card"/>
    <n v="0"/>
    <n v="0"/>
  </r>
  <r>
    <s v="T017"/>
    <d v="2026-03-05T00:00:00"/>
    <x v="1"/>
    <x v="1"/>
    <n v="180000"/>
    <s v="INR"/>
    <n v="1.18E-2"/>
    <n v="2124"/>
    <s v="Failed E05 Timeout"/>
    <n v="72"/>
    <x v="0"/>
    <s v="U008"/>
    <s v="Card"/>
    <n v="0"/>
    <n v="1"/>
  </r>
  <r>
    <s v="T018"/>
    <d v="2026-03-05T00:00:00"/>
    <x v="1"/>
    <x v="1"/>
    <n v="145000"/>
    <s v="INR"/>
    <n v="1.18E-2"/>
    <n v="1711"/>
    <s v="Chargeback"/>
    <n v="86"/>
    <x v="0"/>
    <s v="U008"/>
    <s v="UPI"/>
    <n v="0"/>
    <n v="1"/>
  </r>
  <r>
    <s v="T019"/>
    <d v="2026-03-05T00:00:00"/>
    <x v="0"/>
    <x v="0"/>
    <n v="260000"/>
    <s v="INR"/>
    <n v="1.18E-2"/>
    <n v="3068"/>
    <s v="Failed E05 Timeout"/>
    <n v="67"/>
    <x v="0"/>
    <s v="U008"/>
    <s v="Wallet"/>
    <n v="0"/>
    <n v="0"/>
  </r>
  <r>
    <s v="T020"/>
    <d v="2026-03-05T00:00:00"/>
    <x v="0"/>
    <x v="0"/>
    <n v="520000"/>
    <s v="INR"/>
    <n v="1.18E-2"/>
    <n v="6136"/>
    <s v="Captured"/>
    <n v="75"/>
    <x v="0"/>
    <s v="U005"/>
    <s v="UPI"/>
    <n v="1"/>
    <n v="1"/>
  </r>
  <r>
    <s v="T021"/>
    <d v="2026-03-06T00:00:00"/>
    <x v="1"/>
    <x v="1"/>
    <n v="330000"/>
    <s v="INR"/>
    <n v="1.1900000000000001E-2"/>
    <n v="3927"/>
    <s v="Captured"/>
    <n v="63"/>
    <x v="0"/>
    <s v="U006"/>
    <s v="Card"/>
    <n v="0"/>
    <n v="0"/>
  </r>
  <r>
    <s v="T022"/>
    <d v="2026-03-06T00:00:00"/>
    <x v="0"/>
    <x v="0"/>
    <n v="410000"/>
    <s v="INR"/>
    <n v="1.1900000000000001E-2"/>
    <n v="4879"/>
    <s v="Captured"/>
    <n v="60"/>
    <x v="1"/>
    <s v="U007"/>
    <s v="UPI"/>
    <n v="0"/>
    <n v="0"/>
  </r>
  <r>
    <s v="T023"/>
    <d v="2026-03-01T00:00:00"/>
    <x v="2"/>
    <x v="2"/>
    <n v="5200"/>
    <s v="EUR"/>
    <n v="1.08"/>
    <n v="5616"/>
    <s v="Captured"/>
    <n v="42"/>
    <x v="1"/>
    <s v="U003"/>
    <s v="Card"/>
    <n v="0"/>
    <n v="0"/>
  </r>
  <r>
    <s v="T024"/>
    <d v="2026-03-02T00:00:00"/>
    <x v="3"/>
    <x v="3"/>
    <n v="6100"/>
    <s v="EUR"/>
    <n v="1.0900000000000001"/>
    <n v="6649"/>
    <s v="Chargeback"/>
    <n v="65"/>
    <x v="1"/>
    <s v="U004"/>
    <s v="Card"/>
    <n v="1"/>
    <n v="1"/>
  </r>
  <r>
    <s v="T025"/>
    <d v="2026-03-03T00:00:00"/>
    <x v="2"/>
    <x v="2"/>
    <n v="2800"/>
    <s v="EUR"/>
    <n v="1.08"/>
    <n v="3024"/>
    <s v="Captured"/>
    <n v="38"/>
    <x v="1"/>
    <s v="U005"/>
    <s v="Wallet"/>
    <n v="0"/>
    <n v="0"/>
  </r>
  <r>
    <s v="T026"/>
    <d v="2026-03-05T00:00:00"/>
    <x v="3"/>
    <x v="3"/>
    <n v="3300"/>
    <s v="EUR"/>
    <n v="1.0900000000000001"/>
    <n v="3597"/>
    <s v="Failed E05 Timeout"/>
    <n v="44"/>
    <x v="2"/>
    <s v="U006"/>
    <s v="NetBanking"/>
    <n v="0"/>
    <n v="0"/>
  </r>
  <r>
    <s v="T027"/>
    <d v="2026-03-01T00:00:00"/>
    <x v="4"/>
    <x v="4"/>
    <n v="7200"/>
    <s v="USD"/>
    <n v="1"/>
    <n v="7200"/>
    <s v="Captured"/>
    <n v="49"/>
    <x v="2"/>
    <s v="U007"/>
    <s v="Card"/>
    <n v="1"/>
    <n v="0"/>
  </r>
  <r>
    <s v="T028"/>
    <d v="2026-03-02T00:00:00"/>
    <x v="4"/>
    <x v="4"/>
    <n v="3100"/>
    <s v="USD"/>
    <n v="1"/>
    <n v="3100"/>
    <s v="Captured"/>
    <n v="41"/>
    <x v="2"/>
    <s v="U008"/>
    <s v="Card"/>
    <n v="0"/>
    <n v="0"/>
  </r>
  <r>
    <s v="T029"/>
    <d v="2026-03-04T00:00:00"/>
    <x v="4"/>
    <x v="4"/>
    <n v="2500"/>
    <s v="USD"/>
    <n v="1"/>
    <n v="2500"/>
    <s v="Chargeback"/>
    <n v="58"/>
    <x v="2"/>
    <s v="U009"/>
    <s v="Wallet"/>
    <n v="0"/>
    <n v="1"/>
  </r>
  <r>
    <s v="T030"/>
    <d v="2026-03-06T00:00:00"/>
    <x v="4"/>
    <x v="4"/>
    <n v="1800"/>
    <s v="USD"/>
    <n v="1"/>
    <n v="1800"/>
    <s v="Failed E05 Timeout"/>
    <n v="47"/>
    <x v="2"/>
    <s v="U010"/>
    <s v="UPI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001"/>
    <d v="2026-03-01T00:00:00"/>
    <s v="Alpha Mart"/>
    <s v="M001"/>
    <n v="420000"/>
    <s v="INR"/>
    <s v="01-03-2026_INR"/>
    <n v="1.1900000000000001E-2"/>
    <n v="4998"/>
    <s v="Captured"/>
    <n v="62"/>
    <s v="APAC"/>
    <x v="0"/>
    <s v="U001"/>
    <s v="UPI"/>
    <n v="0"/>
    <n v="0"/>
  </r>
  <r>
    <s v="T002"/>
    <d v="2026-03-01T00:00:00"/>
    <s v="Alpha Mart"/>
    <s v="M001"/>
    <n v="210000"/>
    <s v="INR"/>
    <s v="01-03-2026_INR"/>
    <n v="1.1900000000000001E-2"/>
    <n v="2499"/>
    <s v="Captured"/>
    <n v="55"/>
    <s v=""/>
    <x v="0"/>
    <s v="U002"/>
    <s v="Card"/>
    <n v="0"/>
    <n v="0"/>
  </r>
  <r>
    <s v="T003"/>
    <d v="2026-03-01T00:00:00"/>
    <s v="Beta Stores"/>
    <s v="M002"/>
    <n v="510000"/>
    <s v="INR"/>
    <s v="01-03-2026_INR"/>
    <n v="1.1900000000000001E-2"/>
    <n v="6069"/>
    <s v="Captured"/>
    <n v="71"/>
    <s v="APAC"/>
    <x v="0"/>
    <s v="U003"/>
    <s v="NetBanking"/>
    <n v="1"/>
    <n v="1"/>
  </r>
  <r>
    <s v="T004"/>
    <d v="2026-03-02T00:00:00"/>
    <s v="Beta Stores"/>
    <s v="M002"/>
    <n v="160000"/>
    <s v="INR"/>
    <s v="02-03-2026_INR"/>
    <n v="1.2E-2"/>
    <n v="1920"/>
    <s v="Failed E05 Timeout"/>
    <n v="68"/>
    <s v="APAC"/>
    <x v="0"/>
    <s v="U004"/>
    <s v="Card"/>
    <n v="0"/>
    <n v="0"/>
  </r>
  <r>
    <s v="T005"/>
    <d v="2026-03-02T00:00:00"/>
    <s v="Alpha Mart"/>
    <s v="M001"/>
    <n v="390000"/>
    <s v="INR"/>
    <s v="02-03-2026_INR"/>
    <n v="1.2E-2"/>
    <n v="4680"/>
    <s v="Captured"/>
    <n v="58"/>
    <s v=""/>
    <x v="0"/>
    <s v="U001"/>
    <s v="UPI"/>
    <n v="0"/>
    <n v="0"/>
  </r>
  <r>
    <s v="T006"/>
    <d v="2026-03-02T00:00:00"/>
    <s v="Beta Stores"/>
    <s v="M002"/>
    <n v="275000"/>
    <s v="INR"/>
    <s v="02-03-2026_INR"/>
    <n v="1.2E-2"/>
    <n v="3300"/>
    <s v="Captured"/>
    <n v="64"/>
    <s v=""/>
    <x v="0"/>
    <s v="U005"/>
    <s v="Wallet"/>
    <n v="0"/>
    <n v="0"/>
  </r>
  <r>
    <s v="T007"/>
    <d v="2026-03-02T00:00:00"/>
    <s v="Alpha Mart"/>
    <s v="M001"/>
    <n v="450000"/>
    <s v="INR"/>
    <s v="02-03-2026_INR"/>
    <n v="1.2E-2"/>
    <n v="5400"/>
    <s v="Chargeback"/>
    <n v="83"/>
    <s v="APAC"/>
    <x v="0"/>
    <s v="U006"/>
    <s v="Card"/>
    <n v="1"/>
    <n v="1"/>
  </r>
  <r>
    <s v="T008"/>
    <d v="2026-03-03T00:00:00"/>
    <s v="Beta Stores"/>
    <s v="M002"/>
    <n v="340000"/>
    <s v="INR"/>
    <s v="03-03-2026_INR"/>
    <n v="1.21E-2"/>
    <n v="4114"/>
    <s v="Captured"/>
    <n v="59"/>
    <s v=""/>
    <x v="0"/>
    <s v="U007"/>
    <s v="UPI"/>
    <n v="0"/>
    <n v="0"/>
  </r>
  <r>
    <s v="T009"/>
    <d v="2026-03-03T00:00:00"/>
    <s v="Alpha Mart"/>
    <s v="M001"/>
    <n v="125000"/>
    <s v="INR"/>
    <s v="03-03-2026_INR"/>
    <n v="1.21E-2"/>
    <n v="1512.5"/>
    <s v="Captured"/>
    <n v="46"/>
    <s v="APAC"/>
    <x v="0"/>
    <s v="U002"/>
    <s v="Wallet"/>
    <n v="0"/>
    <n v="0"/>
  </r>
  <r>
    <s v="T010"/>
    <d v="2026-03-03T00:00:00"/>
    <s v="Beta Stores"/>
    <s v="M002"/>
    <n v="610000"/>
    <s v="INR"/>
    <s v="03-03-2026_INR"/>
    <n v="1.21E-2"/>
    <n v="7381"/>
    <s v="Captured"/>
    <n v="77"/>
    <s v=""/>
    <x v="0"/>
    <s v="U003"/>
    <s v="Card"/>
    <n v="1"/>
    <n v="1"/>
  </r>
  <r>
    <s v="T011"/>
    <d v="2026-03-03T00:00:00"/>
    <s v="Alpha Mart"/>
    <s v="M001"/>
    <n v="195000"/>
    <s v="INR"/>
    <s v="03-03-2026_INR"/>
    <n v="1.21E-2"/>
    <n v="2359.5"/>
    <s v="Failed E05 Timeout"/>
    <s v=""/>
    <s v=""/>
    <x v="0"/>
    <s v="U008"/>
    <s v="UPI"/>
    <n v="0"/>
    <n v="1"/>
  </r>
  <r>
    <s v="T012"/>
    <d v="2026-03-04T00:00:00"/>
    <s v="Beta Stores"/>
    <s v="M002"/>
    <n v="250000"/>
    <s v="INR"/>
    <s v="04-03-2026_INR"/>
    <n v="1.2E-2"/>
    <n v="3000"/>
    <s v="Captured"/>
    <n v="61"/>
    <s v="APAC"/>
    <x v="0"/>
    <s v="U009"/>
    <s v="Card"/>
    <n v="0"/>
    <n v="0"/>
  </r>
  <r>
    <s v="T013"/>
    <d v="2026-03-04T00:00:00"/>
    <s v="Alpha Mart"/>
    <s v="M001"/>
    <n v="310000"/>
    <s v="INR"/>
    <s v="04-03-2026_INR"/>
    <n v="1.2E-2"/>
    <n v="3720"/>
    <s v="Captured"/>
    <n v="54"/>
    <s v="APAC"/>
    <x v="0"/>
    <s v="U010"/>
    <s v="UPI"/>
    <n v="0"/>
    <n v="0"/>
  </r>
  <r>
    <s v="T014"/>
    <d v="2026-03-04T00:00:00"/>
    <s v="Beta Stores"/>
    <s v="M002"/>
    <n v="470000"/>
    <s v="INR"/>
    <s v="04-03-2026_INR"/>
    <n v="1.2E-2"/>
    <n v="5640"/>
    <s v="Captured"/>
    <n v="73"/>
    <s v="APAC"/>
    <x v="0"/>
    <s v="U001"/>
    <s v="NetBanking"/>
    <n v="1"/>
    <n v="1"/>
  </r>
  <r>
    <s v="T015"/>
    <d v="2026-03-04T00:00:00"/>
    <s v="Alpha Mart"/>
    <s v="M001"/>
    <n v="130000"/>
    <s v="INR"/>
    <s v="04-03-2026_INR"/>
    <n v="1.2E-2"/>
    <n v="1560"/>
    <s v="Captured"/>
    <n v="52"/>
    <s v=""/>
    <x v="0"/>
    <s v="U002"/>
    <s v="Card"/>
    <n v="0"/>
    <n v="0"/>
  </r>
  <r>
    <s v="T016"/>
    <d v="2026-03-05T00:00:00"/>
    <s v="Beta Stores"/>
    <s v="M002"/>
    <n v="220000"/>
    <s v="INR"/>
    <s v="05-03-2026_INR"/>
    <n v="1.18E-2"/>
    <n v="2596"/>
    <s v="Failed E05 Timeout"/>
    <n v="69"/>
    <s v=""/>
    <x v="0"/>
    <s v="U008"/>
    <s v="Card"/>
    <n v="0"/>
    <n v="0"/>
  </r>
  <r>
    <s v="T017"/>
    <d v="2026-03-05T00:00:00"/>
    <s v="Beta Stores"/>
    <s v="M002"/>
    <n v="180000"/>
    <s v="INR"/>
    <s v="05-03-2026_INR"/>
    <n v="1.18E-2"/>
    <n v="2124"/>
    <s v="Failed E05 Timeout"/>
    <n v="72"/>
    <s v="APAC"/>
    <x v="0"/>
    <s v="U008"/>
    <s v="Card"/>
    <n v="0"/>
    <n v="1"/>
  </r>
  <r>
    <s v="T018"/>
    <d v="2026-03-05T00:00:00"/>
    <s v="Beta Stores"/>
    <s v="M002"/>
    <n v="145000"/>
    <s v="INR"/>
    <s v="05-03-2026_INR"/>
    <n v="1.18E-2"/>
    <n v="1711"/>
    <s v="Chargeback"/>
    <n v="86"/>
    <s v="APAC"/>
    <x v="0"/>
    <s v="U008"/>
    <s v="UPI"/>
    <n v="0"/>
    <n v="1"/>
  </r>
  <r>
    <s v="T019"/>
    <d v="2026-03-05T00:00:00"/>
    <s v="Alpha Mart"/>
    <s v="M001"/>
    <n v="260000"/>
    <s v="INR"/>
    <s v="05-03-2026_INR"/>
    <n v="1.18E-2"/>
    <n v="3068"/>
    <s v="Failed E05 Timeout"/>
    <n v="67"/>
    <s v="APAC"/>
    <x v="0"/>
    <s v="U008"/>
    <s v="Wallet"/>
    <n v="0"/>
    <n v="0"/>
  </r>
  <r>
    <s v="T020"/>
    <d v="2026-03-05T00:00:00"/>
    <s v="Alpha Mart"/>
    <s v="M001"/>
    <n v="520000"/>
    <s v="INR"/>
    <s v="05-03-2026_INR"/>
    <n v="1.18E-2"/>
    <n v="6136"/>
    <s v="Captured"/>
    <n v="75"/>
    <s v="APAC"/>
    <x v="0"/>
    <s v="U005"/>
    <s v="UPI"/>
    <n v="1"/>
    <n v="1"/>
  </r>
  <r>
    <s v="T021"/>
    <d v="2026-03-06T00:00:00"/>
    <s v="Beta Stores"/>
    <s v="M002"/>
    <n v="330000"/>
    <s v="INR"/>
    <s v="06-03-2026_INR"/>
    <n v="1.1900000000000001E-2"/>
    <n v="3927"/>
    <s v="Captured"/>
    <n v="63"/>
    <s v=""/>
    <x v="0"/>
    <s v="U006"/>
    <s v="Card"/>
    <n v="0"/>
    <n v="0"/>
  </r>
  <r>
    <s v="T022"/>
    <d v="2026-03-06T00:00:00"/>
    <s v="Alpha Mart"/>
    <s v="M001"/>
    <n v="410000"/>
    <s v="INR"/>
    <s v="06-03-2026_INR"/>
    <n v="1.1900000000000001E-2"/>
    <n v="4879"/>
    <s v="Captured"/>
    <n v="60"/>
    <s v="APAC"/>
    <x v="1"/>
    <s v="U007"/>
    <s v="UPI"/>
    <n v="0"/>
    <n v="0"/>
  </r>
  <r>
    <s v="T023"/>
    <d v="2026-03-01T00:00:00"/>
    <s v="City Pharma"/>
    <s v="M003"/>
    <n v="5200"/>
    <s v="EUR"/>
    <s v="01-03-2026_EUR"/>
    <n v="1.08"/>
    <n v="5616"/>
    <s v="Captured"/>
    <n v="42"/>
    <s v="EU"/>
    <x v="1"/>
    <s v="U003"/>
    <s v="Card"/>
    <n v="0"/>
    <n v="0"/>
  </r>
  <r>
    <s v="T024"/>
    <d v="2026-03-02T00:00:00"/>
    <s v="Eco Home"/>
    <s v="M005"/>
    <n v="6100"/>
    <s v="EUR"/>
    <s v="02-03-2026_EUR"/>
    <n v="1.0900000000000001"/>
    <n v="6649"/>
    <s v="Chargeback"/>
    <n v="65"/>
    <s v="EU"/>
    <x v="1"/>
    <s v="U004"/>
    <s v="Card"/>
    <n v="1"/>
    <n v="1"/>
  </r>
  <r>
    <s v="T025"/>
    <d v="2026-03-03T00:00:00"/>
    <s v="City Pharma"/>
    <s v="M003"/>
    <n v="2800"/>
    <s v="EUR"/>
    <s v="03-03-2026_EUR"/>
    <n v="1.08"/>
    <n v="3024"/>
    <s v="Captured"/>
    <n v="38"/>
    <s v="EU"/>
    <x v="1"/>
    <s v="U005"/>
    <s v="Wallet"/>
    <n v="0"/>
    <n v="0"/>
  </r>
  <r>
    <s v="T026"/>
    <d v="2026-03-05T00:00:00"/>
    <s v="Eco Home"/>
    <s v="M005"/>
    <n v="3300"/>
    <s v="EUR"/>
    <s v="05-03-2026_EUR"/>
    <n v="1.0900000000000001"/>
    <n v="3597"/>
    <s v="Failed E05 Timeout"/>
    <n v="44"/>
    <s v="EU"/>
    <x v="2"/>
    <s v="U006"/>
    <s v="NetBanking"/>
    <n v="0"/>
    <n v="0"/>
  </r>
  <r>
    <s v="T027"/>
    <d v="2026-03-01T00:00:00"/>
    <s v="Delta Travels"/>
    <s v="M004"/>
    <n v="7200"/>
    <s v="USD"/>
    <s v="01-03-2026_USD"/>
    <n v="1"/>
    <n v="7200"/>
    <s v="Captured"/>
    <n v="49"/>
    <s v="US"/>
    <x v="2"/>
    <s v="U007"/>
    <s v="Card"/>
    <n v="1"/>
    <n v="0"/>
  </r>
  <r>
    <s v="T028"/>
    <d v="2026-03-02T00:00:00"/>
    <s v="Delta Travels"/>
    <s v="M004"/>
    <n v="3100"/>
    <s v="USD"/>
    <s v="02-03-2026_USD"/>
    <n v="1"/>
    <n v="3100"/>
    <s v="Captured"/>
    <n v="41"/>
    <s v="US"/>
    <x v="2"/>
    <s v="U008"/>
    <s v="Card"/>
    <n v="0"/>
    <n v="0"/>
  </r>
  <r>
    <s v="T029"/>
    <d v="2026-03-04T00:00:00"/>
    <s v="Delta Travels"/>
    <s v="M004"/>
    <n v="2500"/>
    <s v="USD"/>
    <s v="04-03-2026_USD"/>
    <n v="1"/>
    <n v="2500"/>
    <s v="Chargeback"/>
    <n v="58"/>
    <s v="US"/>
    <x v="2"/>
    <s v="U009"/>
    <s v="Wallet"/>
    <n v="0"/>
    <n v="1"/>
  </r>
  <r>
    <s v="T030"/>
    <d v="2026-03-06T00:00:00"/>
    <s v="Delta Travels"/>
    <s v="M004"/>
    <n v="1800"/>
    <s v="USD"/>
    <s v="06-03-2026_USD"/>
    <n v="1"/>
    <n v="1800"/>
    <s v="Failed E05 Timeout"/>
    <n v="47"/>
    <s v="US"/>
    <x v="2"/>
    <s v="U010"/>
    <s v="UPI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A0D25-A0BE-48EC-A36E-D44B2AE77057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ateway_region">
  <location ref="A12:D16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gvm_usd" fld="8" baseField="0" baseItem="0" numFmtId="2"/>
    <dataField name="high_risk_txn_count" fld="16" baseField="12" baseItem="0"/>
    <dataField name="high_value_txn_count" fld="15" baseField="12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3248D-5FA8-4AD4-98F8-E86A620C5FF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8" firstHeaderRow="0" firstDataRow="1" firstDataCol="1"/>
  <pivotFields count="1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5">
        <item x="0"/>
        <item x="1"/>
        <item x="2"/>
        <item x="4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 v="1"/>
    </i>
    <i>
      <x/>
    </i>
    <i>
      <x v="3"/>
    </i>
    <i>
      <x v="4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_transactions" fld="0" subtotal="count" baseField="0" baseItem="0"/>
    <dataField name="total_gvm_usd" fld="7" baseField="0" baseItem="0" numFmtId="2"/>
    <dataField name="average_risk_score" fld="9" subtotal="average" baseField="2" baseItem="0" numFmtId="2"/>
    <dataField name="high_risk_txn_count" fld="14" baseField="2" baseItem="1"/>
    <dataField name="high_value_txn_count" fld="13" baseField="0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ED0A8CE-3457-407D-BB64-63E13B682887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_id" tableColumnId="1"/>
      <queryTableField id="2" name="transaction_date" tableColumnId="2"/>
      <queryTableField id="3" name="merchant_name" tableColumnId="3"/>
      <queryTableField id="4" name="raw_amount" tableColumnId="4"/>
      <queryTableField id="5" name="currency" tableColumnId="5"/>
      <queryTableField id="6" name="status" tableColumnId="6"/>
      <queryTableField id="7" name="risk_score" tableColumnId="7"/>
      <queryTableField id="8" name="gateway_region" tableColumnId="8"/>
      <queryTableField id="9" name="user_id" tableColumnId="9"/>
      <queryTableField id="10" name="payment_metho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7A1B59-E07E-4EC0-A336-C982655165B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7" dataBound="0" tableColumnId="7"/>
      <queryTableField id="6" dataBound="0" tableColumnId="6"/>
      <queryTableField id="8" dataBound="0" tableColumnId="9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A0435A-73F3-4B20-AA79-42962CA54BE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rate_date" tableColumnId="1"/>
      <queryTableField id="2" name="currency" tableColumnId="2"/>
      <queryTableField id="3" name="usd_rate" tableColumnId="3"/>
      <queryTableField id="4" dataBound="0" tableColumnId="5"/>
      <queryTableField id="5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D3D71-54F9-4E0A-8FBE-7EA2F3A5549F}" name="transactions_raw__2" displayName="transactions_raw__2" ref="A1:J31" tableType="queryTable" totalsRowShown="0">
  <autoFilter ref="A1:J31" xr:uid="{56FD3D71-54F9-4E0A-8FBE-7EA2F3A5549F}"/>
  <tableColumns count="10">
    <tableColumn id="1" xr3:uid="{66E38F26-9CE2-4718-A0A6-7E1808496D27}" uniqueName="1" name="transaction_id" queryTableFieldId="1" dataDxfId="23"/>
    <tableColumn id="2" xr3:uid="{EA5FC7B5-72BC-4418-AA84-DE4208C8C34F}" uniqueName="2" name="transaction_date" queryTableFieldId="2" dataDxfId="22"/>
    <tableColumn id="3" xr3:uid="{26E67530-77C5-4F00-BDB5-3A5D48F5BBFE}" uniqueName="3" name="merchant_name" queryTableFieldId="3" dataDxfId="21"/>
    <tableColumn id="4" xr3:uid="{A4BFAAD6-2E5D-4513-8984-022CB7D6E26D}" uniqueName="4" name="raw_amount" queryTableFieldId="4"/>
    <tableColumn id="5" xr3:uid="{3A158721-3FAB-46B1-8AC2-A9374676EE9B}" uniqueName="5" name="currency" queryTableFieldId="5" dataDxfId="20"/>
    <tableColumn id="6" xr3:uid="{3071A0A1-BA74-48DD-9050-5DE111918033}" uniqueName="6" name="status" queryTableFieldId="6" dataDxfId="19"/>
    <tableColumn id="7" xr3:uid="{86E95D66-06FD-4C5E-83F7-6E7C8C733D9F}" uniqueName="7" name="risk_score" queryTableFieldId="7" dataDxfId="18"/>
    <tableColumn id="8" xr3:uid="{DFB7F571-F606-4E8A-9BC8-5467394548B1}" uniqueName="8" name="gateway_region" queryTableFieldId="8" dataDxfId="17"/>
    <tableColumn id="9" xr3:uid="{3CBAEBB5-561C-40D5-81B3-DDFB2EB786E7}" uniqueName="9" name="user_id" queryTableFieldId="9" dataDxfId="16"/>
    <tableColumn id="10" xr3:uid="{8F556022-C9A9-4898-A7FB-AAE88EB26097}" uniqueName="10" name="payment_method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68D1C2-5F68-410E-9F16-4988E73E4425}" name="merchant_master" displayName="merchant_master" ref="A1:H6" tableType="queryTable" totalsRowShown="0">
  <autoFilter ref="A1:H6" xr:uid="{1268D1C2-5F68-410E-9F16-4988E73E4425}"/>
  <tableColumns count="8">
    <tableColumn id="1" xr3:uid="{57B038A2-F197-45AC-819F-6DFBD46E7FCC}" uniqueName="1" name="merchant_id" queryTableFieldId="1" dataDxfId="14"/>
    <tableColumn id="2" xr3:uid="{E64AFF0E-C000-4D66-8A7C-DFF1703C7A66}" uniqueName="2" name="merchant_name" queryTableFieldId="2" dataDxfId="13"/>
    <tableColumn id="7" xr3:uid="{E25D13F7-856C-4C48-B717-6C352F2EFA36}" uniqueName="7" name="clean_merchant_name" queryTableFieldId="7" dataDxfId="12">
      <calculatedColumnFormula>PROPER(TRIM(B2))</calculatedColumnFormula>
    </tableColumn>
    <tableColumn id="6" xr3:uid="{F368D2A2-80D8-48BF-8017-0F28735EDE84}" uniqueName="6" name="merchant_id_copy" queryTableFieldId="6" dataDxfId="11">
      <calculatedColumnFormula>$A2</calculatedColumnFormula>
    </tableColumn>
    <tableColumn id="9" xr3:uid="{433C9C07-AE6B-4091-9C80-694F4FDB34A2}" uniqueName="9" name="clean_default_region" queryTableFieldId="8" dataDxfId="10">
      <calculatedColumnFormula>UPPER(TRIM(H2))</calculatedColumnFormula>
    </tableColumn>
    <tableColumn id="3" xr3:uid="{4A0783A8-4048-4F28-8DBD-1ADEB9E37790}" uniqueName="3" name="account_manager" queryTableFieldId="3" dataDxfId="9"/>
    <tableColumn id="4" xr3:uid="{D6314395-0CDF-4B6C-8B05-3DD5408B6972}" uniqueName="4" name="merchant_category" queryTableFieldId="4" dataDxfId="8"/>
    <tableColumn id="5" xr3:uid="{987AE604-C6DB-4D40-9BED-A79C5382B535}" uniqueName="5" name="default_region" queryTableFieldId="5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73AB94E-9AC0-47AA-A78C-C8D4F4326CAD}" name="exchange_rates" displayName="exchange_rates" ref="A1:E19" tableType="queryTable" totalsRowShown="0">
  <autoFilter ref="A1:E19" xr:uid="{273AB94E-9AC0-47AA-A78C-C8D4F4326CAD}"/>
  <tableColumns count="5">
    <tableColumn id="1" xr3:uid="{A1EF1E82-CEC6-4907-8730-6F21B549ABBF}" uniqueName="1" name="rate_date" queryTableFieldId="1" dataDxfId="6"/>
    <tableColumn id="2" xr3:uid="{FCBC3920-6167-4A3E-A4EC-9B3C2343A1E5}" uniqueName="2" name="currency" queryTableFieldId="2" dataDxfId="5"/>
    <tableColumn id="3" xr3:uid="{D61E8F78-B333-4E5E-826E-E219EC13F7A1}" uniqueName="3" name="usd_rate" queryTableFieldId="3"/>
    <tableColumn id="5" xr3:uid="{3DF2C035-8825-466F-88B1-54587CEF01B5}" uniqueName="5" name="rate_date_&amp;_usd_rate" queryTableFieldId="4" dataDxfId="4">
      <calculatedColumnFormula>TEXT($A2, "dd-mm-yyyy")&amp;"_"&amp;$B2</calculatedColumnFormula>
    </tableColumn>
    <tableColumn id="6" xr3:uid="{1D56106C-328D-4005-BF6A-BFE933A14AA6}" uniqueName="6" name="usd_rate_copy" queryTableFieldId="5" dataDxfId="3">
      <calculatedColumnFormula>$C2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A4B7A-F3E4-457C-9404-B169464C5E99}" name="Table1" displayName="Table1" ref="A1:O31" totalsRowShown="0" headerRowDxfId="2">
  <autoFilter ref="A1:O31" xr:uid="{584A4B7A-F3E4-457C-9404-B169464C5E99}"/>
  <tableColumns count="15">
    <tableColumn id="1" xr3:uid="{46F4CBB5-5C62-4598-95BF-4C17B15ED5DE}" name="transaction_id"/>
    <tableColumn id="2" xr3:uid="{7F4FD7BE-839A-4F32-B7C9-5DD60D393F86}" name="transaction_date" dataDxfId="1"/>
    <tableColumn id="3" xr3:uid="{8DCB6F97-F0AC-4EA9-A2FC-846FEC141B59}" name="merchant_name"/>
    <tableColumn id="4" xr3:uid="{39847E3C-5939-4B46-952C-3C98350FD222}" name="merchant_id"/>
    <tableColumn id="5" xr3:uid="{5E6AFBD7-DC85-411F-89AD-871A0588B748}" name="raw_amount"/>
    <tableColumn id="6" xr3:uid="{AA8540A6-D9B5-46AC-945A-DF1CF78687C6}" name="currency"/>
    <tableColumn id="7" xr3:uid="{063B6C54-CCF3-4DAE-9FFC-ED20CB166653}" name="usd_rate"/>
    <tableColumn id="8" xr3:uid="{44378FE3-3269-462C-AF31-4BDF385141DA}" name="amount_usd" dataDxfId="0"/>
    <tableColumn id="9" xr3:uid="{E9DAE662-AB45-4496-9AD9-8E0383DE4BF1}" name="status"/>
    <tableColumn id="10" xr3:uid="{02A145C5-F352-40D9-9EE6-1A416CF18487}" name="risk_score"/>
    <tableColumn id="11" xr3:uid="{1118E531-D36C-4320-BAA9-65018175406A}" name="gateway_region"/>
    <tableColumn id="12" xr3:uid="{12C9584C-E6E9-4F82-9F31-8CB1EB5198ED}" name="user_id"/>
    <tableColumn id="13" xr3:uid="{0A510001-457B-478E-818A-E0C00FEF61DF}" name="payment_method"/>
    <tableColumn id="14" xr3:uid="{86FD4FC8-C27B-4B62-B665-D7B002B6ACE6}" name="high_value_flag"/>
    <tableColumn id="15" xr3:uid="{45071C62-5ED4-43E6-8668-FA955F2F9B4A}" name="high_risk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F424-7B31-47D7-A1A3-9870FA1E4007}">
  <dimension ref="A1:J31"/>
  <sheetViews>
    <sheetView workbookViewId="0">
      <selection activeCell="C33" sqref="C33"/>
    </sheetView>
  </sheetViews>
  <sheetFormatPr defaultRowHeight="14.4" x14ac:dyDescent="0.3"/>
  <cols>
    <col min="1" max="1" width="15.33203125" bestFit="1" customWidth="1"/>
    <col min="2" max="2" width="17.5546875" bestFit="1" customWidth="1"/>
    <col min="3" max="3" width="17.21875" bestFit="1" customWidth="1"/>
    <col min="4" max="4" width="14" bestFit="1" customWidth="1"/>
    <col min="5" max="5" width="10.5546875" bestFit="1" customWidth="1"/>
    <col min="6" max="6" width="18.6640625" bestFit="1" customWidth="1"/>
    <col min="7" max="7" width="11.5546875" bestFit="1" customWidth="1"/>
    <col min="8" max="8" width="16.77734375" bestFit="1" customWidth="1"/>
    <col min="9" max="9" width="9.33203125" bestFit="1" customWidth="1"/>
    <col min="10" max="10" width="18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A4" t="s">
        <v>25</v>
      </c>
      <c r="B4" s="1">
        <v>46082</v>
      </c>
      <c r="C4" t="s">
        <v>26</v>
      </c>
      <c r="D4">
        <v>510000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3">
      <c r="A5" t="s">
        <v>32</v>
      </c>
      <c r="B5" s="1">
        <v>46083</v>
      </c>
      <c r="C5" t="s">
        <v>33</v>
      </c>
      <c r="D5">
        <v>160000</v>
      </c>
      <c r="E5" t="s">
        <v>12</v>
      </c>
      <c r="F5" t="s">
        <v>34</v>
      </c>
      <c r="G5" t="s">
        <v>35</v>
      </c>
      <c r="H5" t="s">
        <v>36</v>
      </c>
      <c r="I5" t="s">
        <v>37</v>
      </c>
      <c r="J5" t="s">
        <v>24</v>
      </c>
    </row>
    <row r="6" spans="1:10" x14ac:dyDescent="0.3">
      <c r="A6" t="s">
        <v>38</v>
      </c>
      <c r="B6" s="1">
        <v>46083</v>
      </c>
      <c r="C6" t="s">
        <v>39</v>
      </c>
      <c r="D6">
        <v>390000</v>
      </c>
      <c r="E6" t="s">
        <v>12</v>
      </c>
      <c r="F6" t="s">
        <v>27</v>
      </c>
      <c r="G6" t="s">
        <v>40</v>
      </c>
      <c r="H6" t="s">
        <v>22</v>
      </c>
      <c r="I6" t="s">
        <v>16</v>
      </c>
      <c r="J6" t="s">
        <v>17</v>
      </c>
    </row>
    <row r="7" spans="1:10" x14ac:dyDescent="0.3">
      <c r="A7" t="s">
        <v>41</v>
      </c>
      <c r="B7" s="1">
        <v>46083</v>
      </c>
      <c r="C7" t="s">
        <v>33</v>
      </c>
      <c r="D7">
        <v>275000</v>
      </c>
      <c r="E7" t="s">
        <v>12</v>
      </c>
      <c r="F7" t="s">
        <v>20</v>
      </c>
      <c r="G7" t="s">
        <v>42</v>
      </c>
      <c r="H7" t="s">
        <v>22</v>
      </c>
      <c r="I7" t="s">
        <v>43</v>
      </c>
      <c r="J7" t="s">
        <v>44</v>
      </c>
    </row>
    <row r="8" spans="1:10" x14ac:dyDescent="0.3">
      <c r="A8" t="s">
        <v>45</v>
      </c>
      <c r="B8" s="1">
        <v>46083</v>
      </c>
      <c r="C8" t="s">
        <v>46</v>
      </c>
      <c r="D8">
        <v>450000</v>
      </c>
      <c r="E8" t="s">
        <v>12</v>
      </c>
      <c r="F8" t="s">
        <v>47</v>
      </c>
      <c r="G8" t="s">
        <v>48</v>
      </c>
      <c r="H8" t="s">
        <v>29</v>
      </c>
      <c r="I8" t="s">
        <v>49</v>
      </c>
      <c r="J8" t="s">
        <v>24</v>
      </c>
    </row>
    <row r="9" spans="1:10" x14ac:dyDescent="0.3">
      <c r="A9" t="s">
        <v>50</v>
      </c>
      <c r="B9" s="1">
        <v>46084</v>
      </c>
      <c r="C9" t="s">
        <v>26</v>
      </c>
      <c r="D9">
        <v>340000</v>
      </c>
      <c r="E9" t="s">
        <v>12</v>
      </c>
      <c r="F9" t="s">
        <v>20</v>
      </c>
      <c r="G9" t="s">
        <v>51</v>
      </c>
      <c r="H9" t="s">
        <v>22</v>
      </c>
      <c r="I9" t="s">
        <v>52</v>
      </c>
      <c r="J9" t="s">
        <v>17</v>
      </c>
    </row>
    <row r="10" spans="1:10" x14ac:dyDescent="0.3">
      <c r="A10" t="s">
        <v>53</v>
      </c>
      <c r="B10" s="1">
        <v>46084</v>
      </c>
      <c r="C10" t="s">
        <v>39</v>
      </c>
      <c r="D10">
        <v>125000</v>
      </c>
      <c r="E10" t="s">
        <v>12</v>
      </c>
      <c r="F10" t="s">
        <v>13</v>
      </c>
      <c r="G10" t="s">
        <v>54</v>
      </c>
      <c r="H10" t="s">
        <v>15</v>
      </c>
      <c r="I10" t="s">
        <v>23</v>
      </c>
      <c r="J10" t="s">
        <v>44</v>
      </c>
    </row>
    <row r="11" spans="1:10" x14ac:dyDescent="0.3">
      <c r="A11" t="s">
        <v>55</v>
      </c>
      <c r="B11" s="1">
        <v>46084</v>
      </c>
      <c r="C11" t="s">
        <v>56</v>
      </c>
      <c r="D11">
        <v>610000</v>
      </c>
      <c r="E11" t="s">
        <v>12</v>
      </c>
      <c r="F11" t="s">
        <v>13</v>
      </c>
      <c r="G11" t="s">
        <v>57</v>
      </c>
      <c r="H11" t="s">
        <v>22</v>
      </c>
      <c r="I11" t="s">
        <v>30</v>
      </c>
      <c r="J11" t="s">
        <v>24</v>
      </c>
    </row>
    <row r="12" spans="1:10" x14ac:dyDescent="0.3">
      <c r="A12" t="s">
        <v>58</v>
      </c>
      <c r="B12" s="1">
        <v>46084</v>
      </c>
      <c r="C12" t="s">
        <v>46</v>
      </c>
      <c r="D12">
        <v>195000</v>
      </c>
      <c r="E12" t="s">
        <v>12</v>
      </c>
      <c r="F12" t="s">
        <v>59</v>
      </c>
      <c r="G12" t="s">
        <v>22</v>
      </c>
      <c r="H12" t="s">
        <v>22</v>
      </c>
      <c r="I12" t="s">
        <v>60</v>
      </c>
      <c r="J12" t="s">
        <v>17</v>
      </c>
    </row>
    <row r="13" spans="1:10" x14ac:dyDescent="0.3">
      <c r="A13" t="s">
        <v>61</v>
      </c>
      <c r="B13" s="1">
        <v>46085</v>
      </c>
      <c r="C13" t="s">
        <v>33</v>
      </c>
      <c r="D13">
        <v>250000</v>
      </c>
      <c r="E13" t="s">
        <v>12</v>
      </c>
      <c r="F13" t="s">
        <v>62</v>
      </c>
      <c r="G13" t="s">
        <v>63</v>
      </c>
      <c r="H13" t="s">
        <v>29</v>
      </c>
      <c r="I13" t="s">
        <v>64</v>
      </c>
      <c r="J13" t="s">
        <v>24</v>
      </c>
    </row>
    <row r="14" spans="1:10" x14ac:dyDescent="0.3">
      <c r="A14" t="s">
        <v>65</v>
      </c>
      <c r="B14" s="1">
        <v>46085</v>
      </c>
      <c r="C14" t="s">
        <v>11</v>
      </c>
      <c r="D14">
        <v>310000</v>
      </c>
      <c r="E14" t="s">
        <v>12</v>
      </c>
      <c r="F14" t="s">
        <v>62</v>
      </c>
      <c r="G14" t="s">
        <v>66</v>
      </c>
      <c r="H14" t="s">
        <v>15</v>
      </c>
      <c r="I14" t="s">
        <v>67</v>
      </c>
      <c r="J14" t="s">
        <v>17</v>
      </c>
    </row>
    <row r="15" spans="1:10" x14ac:dyDescent="0.3">
      <c r="A15" t="s">
        <v>68</v>
      </c>
      <c r="B15" s="1">
        <v>46085</v>
      </c>
      <c r="C15" t="s">
        <v>33</v>
      </c>
      <c r="D15">
        <v>470000</v>
      </c>
      <c r="E15" t="s">
        <v>12</v>
      </c>
      <c r="F15" t="s">
        <v>62</v>
      </c>
      <c r="G15" t="s">
        <v>69</v>
      </c>
      <c r="H15" t="s">
        <v>15</v>
      </c>
      <c r="I15" t="s">
        <v>16</v>
      </c>
      <c r="J15" t="s">
        <v>31</v>
      </c>
    </row>
    <row r="16" spans="1:10" x14ac:dyDescent="0.3">
      <c r="A16" t="s">
        <v>70</v>
      </c>
      <c r="B16" s="1">
        <v>46085</v>
      </c>
      <c r="C16" t="s">
        <v>39</v>
      </c>
      <c r="D16">
        <v>130000</v>
      </c>
      <c r="E16" t="s">
        <v>12</v>
      </c>
      <c r="F16" t="s">
        <v>13</v>
      </c>
      <c r="G16" t="s">
        <v>71</v>
      </c>
      <c r="H16" t="s">
        <v>22</v>
      </c>
      <c r="I16" t="s">
        <v>23</v>
      </c>
      <c r="J16" t="s">
        <v>24</v>
      </c>
    </row>
    <row r="17" spans="1:10" x14ac:dyDescent="0.3">
      <c r="A17" t="s">
        <v>72</v>
      </c>
      <c r="B17" s="1">
        <v>46086</v>
      </c>
      <c r="C17" t="s">
        <v>33</v>
      </c>
      <c r="D17">
        <v>220000</v>
      </c>
      <c r="E17" t="s">
        <v>12</v>
      </c>
      <c r="F17" t="s">
        <v>73</v>
      </c>
      <c r="G17" t="s">
        <v>74</v>
      </c>
      <c r="H17" t="s">
        <v>22</v>
      </c>
      <c r="I17" t="s">
        <v>60</v>
      </c>
      <c r="J17" t="s">
        <v>24</v>
      </c>
    </row>
    <row r="18" spans="1:10" x14ac:dyDescent="0.3">
      <c r="A18" t="s">
        <v>75</v>
      </c>
      <c r="B18" s="1">
        <v>46086</v>
      </c>
      <c r="C18" t="s">
        <v>33</v>
      </c>
      <c r="D18">
        <v>180000</v>
      </c>
      <c r="E18" t="s">
        <v>12</v>
      </c>
      <c r="F18" t="s">
        <v>76</v>
      </c>
      <c r="G18" t="s">
        <v>77</v>
      </c>
      <c r="H18" t="s">
        <v>36</v>
      </c>
      <c r="I18" t="s">
        <v>60</v>
      </c>
      <c r="J18" t="s">
        <v>24</v>
      </c>
    </row>
    <row r="19" spans="1:10" x14ac:dyDescent="0.3">
      <c r="A19" t="s">
        <v>78</v>
      </c>
      <c r="B19" s="1">
        <v>46086</v>
      </c>
      <c r="C19" t="s">
        <v>26</v>
      </c>
      <c r="D19">
        <v>145000</v>
      </c>
      <c r="E19" t="s">
        <v>12</v>
      </c>
      <c r="F19" t="s">
        <v>79</v>
      </c>
      <c r="G19" t="s">
        <v>80</v>
      </c>
      <c r="H19" t="s">
        <v>29</v>
      </c>
      <c r="I19" t="s">
        <v>60</v>
      </c>
      <c r="J19" t="s">
        <v>17</v>
      </c>
    </row>
    <row r="20" spans="1:10" x14ac:dyDescent="0.3">
      <c r="A20" t="s">
        <v>81</v>
      </c>
      <c r="B20" s="1">
        <v>46086</v>
      </c>
      <c r="C20" t="s">
        <v>46</v>
      </c>
      <c r="D20">
        <v>260000</v>
      </c>
      <c r="E20" t="s">
        <v>12</v>
      </c>
      <c r="F20" t="s">
        <v>76</v>
      </c>
      <c r="G20" t="s">
        <v>82</v>
      </c>
      <c r="H20" t="s">
        <v>36</v>
      </c>
      <c r="I20" t="s">
        <v>60</v>
      </c>
      <c r="J20" t="s">
        <v>44</v>
      </c>
    </row>
    <row r="21" spans="1:10" x14ac:dyDescent="0.3">
      <c r="A21" t="s">
        <v>83</v>
      </c>
      <c r="B21" s="1">
        <v>46086</v>
      </c>
      <c r="C21" t="s">
        <v>39</v>
      </c>
      <c r="D21">
        <v>520000</v>
      </c>
      <c r="E21" t="s">
        <v>12</v>
      </c>
      <c r="F21" t="s">
        <v>20</v>
      </c>
      <c r="G21" t="s">
        <v>84</v>
      </c>
      <c r="H21" t="s">
        <v>15</v>
      </c>
      <c r="I21" t="s">
        <v>43</v>
      </c>
      <c r="J21" t="s">
        <v>17</v>
      </c>
    </row>
    <row r="22" spans="1:10" x14ac:dyDescent="0.3">
      <c r="A22" t="s">
        <v>85</v>
      </c>
      <c r="B22" s="1">
        <v>46087</v>
      </c>
      <c r="C22" t="s">
        <v>86</v>
      </c>
      <c r="D22">
        <v>330000</v>
      </c>
      <c r="E22" t="s">
        <v>12</v>
      </c>
      <c r="F22" t="s">
        <v>62</v>
      </c>
      <c r="G22" t="s">
        <v>87</v>
      </c>
      <c r="H22" t="s">
        <v>22</v>
      </c>
      <c r="I22" t="s">
        <v>49</v>
      </c>
      <c r="J22" t="s">
        <v>24</v>
      </c>
    </row>
    <row r="23" spans="1:10" x14ac:dyDescent="0.3">
      <c r="A23" t="s">
        <v>88</v>
      </c>
      <c r="B23" s="1">
        <v>46087</v>
      </c>
      <c r="C23" t="s">
        <v>19</v>
      </c>
      <c r="D23">
        <v>410000</v>
      </c>
      <c r="E23" t="s">
        <v>12</v>
      </c>
      <c r="F23" t="s">
        <v>62</v>
      </c>
      <c r="G23" t="s">
        <v>89</v>
      </c>
      <c r="H23" t="s">
        <v>15</v>
      </c>
      <c r="I23" t="s">
        <v>52</v>
      </c>
      <c r="J23" t="s">
        <v>17</v>
      </c>
    </row>
    <row r="24" spans="1:10" x14ac:dyDescent="0.3">
      <c r="A24" t="s">
        <v>90</v>
      </c>
      <c r="B24" s="1">
        <v>46082</v>
      </c>
      <c r="C24" t="s">
        <v>91</v>
      </c>
      <c r="D24">
        <v>5200</v>
      </c>
      <c r="E24" t="s">
        <v>92</v>
      </c>
      <c r="F24" t="s">
        <v>20</v>
      </c>
      <c r="G24" t="s">
        <v>93</v>
      </c>
      <c r="H24" t="s">
        <v>94</v>
      </c>
      <c r="I24" t="s">
        <v>30</v>
      </c>
      <c r="J24" t="s">
        <v>24</v>
      </c>
    </row>
    <row r="25" spans="1:10" x14ac:dyDescent="0.3">
      <c r="A25" t="s">
        <v>95</v>
      </c>
      <c r="B25" s="1">
        <v>46083</v>
      </c>
      <c r="C25" t="s">
        <v>96</v>
      </c>
      <c r="D25">
        <v>6100</v>
      </c>
      <c r="E25" t="s">
        <v>92</v>
      </c>
      <c r="F25" t="s">
        <v>79</v>
      </c>
      <c r="G25" t="s">
        <v>97</v>
      </c>
      <c r="H25" t="s">
        <v>98</v>
      </c>
      <c r="I25" t="s">
        <v>37</v>
      </c>
      <c r="J25" t="s">
        <v>24</v>
      </c>
    </row>
    <row r="26" spans="1:10" x14ac:dyDescent="0.3">
      <c r="A26" t="s">
        <v>99</v>
      </c>
      <c r="B26" s="1">
        <v>46084</v>
      </c>
      <c r="C26" t="s">
        <v>91</v>
      </c>
      <c r="D26">
        <v>2800</v>
      </c>
      <c r="E26" t="s">
        <v>92</v>
      </c>
      <c r="F26" t="s">
        <v>62</v>
      </c>
      <c r="G26" t="s">
        <v>100</v>
      </c>
      <c r="H26" t="s">
        <v>101</v>
      </c>
      <c r="I26" t="s">
        <v>43</v>
      </c>
      <c r="J26" t="s">
        <v>44</v>
      </c>
    </row>
    <row r="27" spans="1:10" x14ac:dyDescent="0.3">
      <c r="A27" t="s">
        <v>102</v>
      </c>
      <c r="B27" s="1">
        <v>46086</v>
      </c>
      <c r="C27" t="s">
        <v>96</v>
      </c>
      <c r="D27">
        <v>3300</v>
      </c>
      <c r="E27" t="s">
        <v>92</v>
      </c>
      <c r="F27" t="s">
        <v>76</v>
      </c>
      <c r="G27" t="s">
        <v>103</v>
      </c>
      <c r="H27" t="s">
        <v>94</v>
      </c>
      <c r="I27" t="s">
        <v>49</v>
      </c>
      <c r="J27" t="s">
        <v>31</v>
      </c>
    </row>
    <row r="28" spans="1:10" x14ac:dyDescent="0.3">
      <c r="A28" t="s">
        <v>104</v>
      </c>
      <c r="B28" s="1">
        <v>46082</v>
      </c>
      <c r="C28" t="s">
        <v>105</v>
      </c>
      <c r="D28">
        <v>7200</v>
      </c>
      <c r="E28" t="s">
        <v>106</v>
      </c>
      <c r="F28" t="s">
        <v>62</v>
      </c>
      <c r="G28" t="s">
        <v>107</v>
      </c>
      <c r="H28" t="s">
        <v>108</v>
      </c>
      <c r="I28" t="s">
        <v>52</v>
      </c>
      <c r="J28" t="s">
        <v>24</v>
      </c>
    </row>
    <row r="29" spans="1:10" x14ac:dyDescent="0.3">
      <c r="A29" t="s">
        <v>109</v>
      </c>
      <c r="B29" s="1">
        <v>46083</v>
      </c>
      <c r="C29" t="s">
        <v>110</v>
      </c>
      <c r="D29">
        <v>3100</v>
      </c>
      <c r="E29" t="s">
        <v>106</v>
      </c>
      <c r="F29" t="s">
        <v>27</v>
      </c>
      <c r="G29" t="s">
        <v>111</v>
      </c>
      <c r="H29" t="s">
        <v>112</v>
      </c>
      <c r="I29" t="s">
        <v>60</v>
      </c>
      <c r="J29" t="s">
        <v>24</v>
      </c>
    </row>
    <row r="30" spans="1:10" x14ac:dyDescent="0.3">
      <c r="A30" t="s">
        <v>113</v>
      </c>
      <c r="B30" s="1">
        <v>46085</v>
      </c>
      <c r="C30" t="s">
        <v>114</v>
      </c>
      <c r="D30">
        <v>2500</v>
      </c>
      <c r="E30" t="s">
        <v>106</v>
      </c>
      <c r="F30" t="s">
        <v>79</v>
      </c>
      <c r="G30" t="s">
        <v>115</v>
      </c>
      <c r="H30" t="s">
        <v>112</v>
      </c>
      <c r="I30" t="s">
        <v>64</v>
      </c>
      <c r="J30" t="s">
        <v>44</v>
      </c>
    </row>
    <row r="31" spans="1:10" x14ac:dyDescent="0.3">
      <c r="A31" t="s">
        <v>116</v>
      </c>
      <c r="B31" s="1">
        <v>46087</v>
      </c>
      <c r="C31" t="s">
        <v>105</v>
      </c>
      <c r="D31">
        <v>1800</v>
      </c>
      <c r="E31" t="s">
        <v>106</v>
      </c>
      <c r="F31" t="s">
        <v>76</v>
      </c>
      <c r="G31" t="s">
        <v>117</v>
      </c>
      <c r="H31" t="s">
        <v>112</v>
      </c>
      <c r="I31" t="s">
        <v>67</v>
      </c>
      <c r="J3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37E4-6271-41CF-B479-77533D87275E}">
  <dimension ref="A1:J31"/>
  <sheetViews>
    <sheetView topLeftCell="E1" workbookViewId="0">
      <selection activeCell="C2" sqref="C2"/>
    </sheetView>
  </sheetViews>
  <sheetFormatPr defaultRowHeight="14.4" x14ac:dyDescent="0.3"/>
  <cols>
    <col min="1" max="1" width="16.88671875" customWidth="1"/>
    <col min="2" max="2" width="20.33203125" customWidth="1"/>
    <col min="3" max="3" width="18.109375" customWidth="1"/>
    <col min="4" max="4" width="15" customWidth="1"/>
    <col min="5" max="5" width="10.5546875" customWidth="1"/>
    <col min="6" max="6" width="20.6640625" customWidth="1"/>
    <col min="7" max="7" width="14" customWidth="1"/>
    <col min="8" max="8" width="17.6640625" customWidth="1"/>
    <col min="9" max="9" width="9.77734375" customWidth="1"/>
    <col min="10" max="10" width="19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t="str">
        <f>raw_data!A2</f>
        <v>T001</v>
      </c>
      <c r="B2" s="1">
        <f>raw_data!B2</f>
        <v>46082</v>
      </c>
      <c r="C2" t="str">
        <f>PROPER(TRIM(raw_data!C2))</f>
        <v>Alpha Mart</v>
      </c>
      <c r="D2">
        <f>raw_data!D2</f>
        <v>420000</v>
      </c>
      <c r="E2" t="str">
        <f>raw_data!E2</f>
        <v>INR</v>
      </c>
      <c r="F2" t="str">
        <f>PROPER(TRIM(raw_data!F2))</f>
        <v>Captured</v>
      </c>
      <c r="G2">
        <f>IFERROR(VALUE(RIGHT(TRIM(raw_data!G2),2)), "")</f>
        <v>62</v>
      </c>
      <c r="H2" t="str">
        <f>IFERROR(UPPER(TRIM(raw_data!H2)),"")</f>
        <v>APAC</v>
      </c>
      <c r="I2" t="str">
        <f>raw_data!I2</f>
        <v>U001</v>
      </c>
      <c r="J2" t="str">
        <f>raw_data!J2</f>
        <v>UPI</v>
      </c>
    </row>
    <row r="3" spans="1:10" x14ac:dyDescent="0.3">
      <c r="A3" t="str">
        <f>raw_data!A3</f>
        <v>T002</v>
      </c>
      <c r="B3" s="1">
        <f>raw_data!B3</f>
        <v>46082</v>
      </c>
      <c r="C3" t="str">
        <f>PROPER(TRIM(raw_data!C3))</f>
        <v>Alpha Mart</v>
      </c>
      <c r="D3">
        <f>raw_data!D3</f>
        <v>210000</v>
      </c>
      <c r="E3" t="str">
        <f>raw_data!E3</f>
        <v>INR</v>
      </c>
      <c r="F3" t="str">
        <f>PROPER(TRIM(raw_data!F3))</f>
        <v>Captured</v>
      </c>
      <c r="G3">
        <f>IFERROR(VALUE(RIGHT(TRIM(raw_data!G3),2)), "")</f>
        <v>55</v>
      </c>
      <c r="H3" t="str">
        <f>IFERROR(UPPER(TRIM(raw_data!H3)),"")</f>
        <v/>
      </c>
      <c r="I3" t="str">
        <f>raw_data!I3</f>
        <v>U002</v>
      </c>
      <c r="J3" t="str">
        <f>raw_data!J3</f>
        <v>Card</v>
      </c>
    </row>
    <row r="4" spans="1:10" x14ac:dyDescent="0.3">
      <c r="A4" t="str">
        <f>raw_data!A4</f>
        <v>T003</v>
      </c>
      <c r="B4" s="1">
        <f>raw_data!B4</f>
        <v>46082</v>
      </c>
      <c r="C4" t="str">
        <f>PROPER(TRIM(raw_data!C4))</f>
        <v>Beta Stores</v>
      </c>
      <c r="D4">
        <f>raw_data!D4</f>
        <v>510000</v>
      </c>
      <c r="E4" t="str">
        <f>raw_data!E4</f>
        <v>INR</v>
      </c>
      <c r="F4" t="str">
        <f>PROPER(TRIM(raw_data!F4))</f>
        <v>Captured</v>
      </c>
      <c r="G4">
        <f>IFERROR(VALUE(RIGHT(TRIM(raw_data!G4),2)), "")</f>
        <v>71</v>
      </c>
      <c r="H4" t="str">
        <f>IFERROR(UPPER(TRIM(raw_data!H4)),"")</f>
        <v>APAC</v>
      </c>
      <c r="I4" t="str">
        <f>raw_data!I4</f>
        <v>U003</v>
      </c>
      <c r="J4" t="str">
        <f>raw_data!J4</f>
        <v>NetBanking</v>
      </c>
    </row>
    <row r="5" spans="1:10" x14ac:dyDescent="0.3">
      <c r="A5" t="str">
        <f>raw_data!A5</f>
        <v>T004</v>
      </c>
      <c r="B5" s="1">
        <f>raw_data!B5</f>
        <v>46083</v>
      </c>
      <c r="C5" t="str">
        <f>PROPER(TRIM(raw_data!C5))</f>
        <v>Beta Stores</v>
      </c>
      <c r="D5">
        <f>raw_data!D5</f>
        <v>160000</v>
      </c>
      <c r="E5" t="str">
        <f>raw_data!E5</f>
        <v>INR</v>
      </c>
      <c r="F5" t="str">
        <f>PROPER(TRIM(raw_data!F5))</f>
        <v>Failed E05 Timeout</v>
      </c>
      <c r="G5">
        <f>IFERROR(VALUE(RIGHT(TRIM(raw_data!G5),2)), "")</f>
        <v>68</v>
      </c>
      <c r="H5" t="str">
        <f>IFERROR(UPPER(TRIM(raw_data!H5)),"")</f>
        <v>APAC</v>
      </c>
      <c r="I5" t="str">
        <f>raw_data!I5</f>
        <v>U004</v>
      </c>
      <c r="J5" t="str">
        <f>raw_data!J5</f>
        <v>Card</v>
      </c>
    </row>
    <row r="6" spans="1:10" x14ac:dyDescent="0.3">
      <c r="A6" t="str">
        <f>raw_data!A6</f>
        <v>T005</v>
      </c>
      <c r="B6" s="1">
        <f>raw_data!B6</f>
        <v>46083</v>
      </c>
      <c r="C6" t="str">
        <f>PROPER(TRIM(raw_data!C6))</f>
        <v>Alpha Mart</v>
      </c>
      <c r="D6">
        <f>raw_data!D6</f>
        <v>390000</v>
      </c>
      <c r="E6" t="str">
        <f>raw_data!E6</f>
        <v>INR</v>
      </c>
      <c r="F6" t="str">
        <f>PROPER(TRIM(raw_data!F6))</f>
        <v>Captured</v>
      </c>
      <c r="G6">
        <f>IFERROR(VALUE(RIGHT(TRIM(raw_data!G6),2)), "")</f>
        <v>58</v>
      </c>
      <c r="H6" t="str">
        <f>IFERROR(UPPER(TRIM(raw_data!H6)),"")</f>
        <v/>
      </c>
      <c r="I6" t="str">
        <f>raw_data!I6</f>
        <v>U001</v>
      </c>
      <c r="J6" t="str">
        <f>raw_data!J6</f>
        <v>UPI</v>
      </c>
    </row>
    <row r="7" spans="1:10" x14ac:dyDescent="0.3">
      <c r="A7" t="str">
        <f>raw_data!A7</f>
        <v>T006</v>
      </c>
      <c r="B7" s="1">
        <f>raw_data!B7</f>
        <v>46083</v>
      </c>
      <c r="C7" t="str">
        <f>PROPER(TRIM(raw_data!C7))</f>
        <v>Beta Stores</v>
      </c>
      <c r="D7">
        <f>raw_data!D7</f>
        <v>275000</v>
      </c>
      <c r="E7" t="str">
        <f>raw_data!E7</f>
        <v>INR</v>
      </c>
      <c r="F7" t="str">
        <f>PROPER(TRIM(raw_data!F7))</f>
        <v>Captured</v>
      </c>
      <c r="G7">
        <f>IFERROR(VALUE(RIGHT(TRIM(raw_data!G7),2)), "")</f>
        <v>64</v>
      </c>
      <c r="H7" t="str">
        <f>IFERROR(UPPER(TRIM(raw_data!H7)),"")</f>
        <v/>
      </c>
      <c r="I7" t="str">
        <f>raw_data!I7</f>
        <v>U005</v>
      </c>
      <c r="J7" t="str">
        <f>raw_data!J7</f>
        <v>Wallet</v>
      </c>
    </row>
    <row r="8" spans="1:10" x14ac:dyDescent="0.3">
      <c r="A8" t="str">
        <f>raw_data!A8</f>
        <v>T007</v>
      </c>
      <c r="B8" s="1">
        <f>raw_data!B8</f>
        <v>46083</v>
      </c>
      <c r="C8" t="str">
        <f>PROPER(TRIM(raw_data!C8))</f>
        <v>Alpha Mart</v>
      </c>
      <c r="D8">
        <f>raw_data!D8</f>
        <v>450000</v>
      </c>
      <c r="E8" t="str">
        <f>raw_data!E8</f>
        <v>INR</v>
      </c>
      <c r="F8" t="str">
        <f>PROPER(TRIM(raw_data!F8))</f>
        <v>Chargeback</v>
      </c>
      <c r="G8">
        <f>IFERROR(VALUE(RIGHT(TRIM(raw_data!G8),2)), "")</f>
        <v>83</v>
      </c>
      <c r="H8" t="str">
        <f>IFERROR(UPPER(TRIM(raw_data!H8)),"")</f>
        <v>APAC</v>
      </c>
      <c r="I8" t="str">
        <f>raw_data!I8</f>
        <v>U006</v>
      </c>
      <c r="J8" t="str">
        <f>raw_data!J8</f>
        <v>Card</v>
      </c>
    </row>
    <row r="9" spans="1:10" x14ac:dyDescent="0.3">
      <c r="A9" t="str">
        <f>raw_data!A9</f>
        <v>T008</v>
      </c>
      <c r="B9" s="1">
        <f>raw_data!B9</f>
        <v>46084</v>
      </c>
      <c r="C9" t="str">
        <f>PROPER(TRIM(raw_data!C9))</f>
        <v>Beta Stores</v>
      </c>
      <c r="D9">
        <f>raw_data!D9</f>
        <v>340000</v>
      </c>
      <c r="E9" t="str">
        <f>raw_data!E9</f>
        <v>INR</v>
      </c>
      <c r="F9" t="str">
        <f>PROPER(TRIM(raw_data!F9))</f>
        <v>Captured</v>
      </c>
      <c r="G9">
        <f>IFERROR(VALUE(RIGHT(TRIM(raw_data!G9),2)), "")</f>
        <v>59</v>
      </c>
      <c r="H9" t="str">
        <f>IFERROR(UPPER(TRIM(raw_data!H9)),"")</f>
        <v/>
      </c>
      <c r="I9" t="str">
        <f>raw_data!I9</f>
        <v>U007</v>
      </c>
      <c r="J9" t="str">
        <f>raw_data!J9</f>
        <v>UPI</v>
      </c>
    </row>
    <row r="10" spans="1:10" x14ac:dyDescent="0.3">
      <c r="A10" t="str">
        <f>raw_data!A10</f>
        <v>T009</v>
      </c>
      <c r="B10" s="1">
        <f>raw_data!B10</f>
        <v>46084</v>
      </c>
      <c r="C10" t="str">
        <f>PROPER(TRIM(raw_data!C10))</f>
        <v>Alpha Mart</v>
      </c>
      <c r="D10">
        <f>raw_data!D10</f>
        <v>125000</v>
      </c>
      <c r="E10" t="str">
        <f>raw_data!E10</f>
        <v>INR</v>
      </c>
      <c r="F10" t="str">
        <f>PROPER(TRIM(raw_data!F10))</f>
        <v>Captured</v>
      </c>
      <c r="G10">
        <f>IFERROR(VALUE(RIGHT(TRIM(raw_data!G10),2)), "")</f>
        <v>46</v>
      </c>
      <c r="H10" t="str">
        <f>IFERROR(UPPER(TRIM(raw_data!H10)),"")</f>
        <v>APAC</v>
      </c>
      <c r="I10" t="str">
        <f>raw_data!I10</f>
        <v>U002</v>
      </c>
      <c r="J10" t="str">
        <f>raw_data!J10</f>
        <v>Wallet</v>
      </c>
    </row>
    <row r="11" spans="1:10" x14ac:dyDescent="0.3">
      <c r="A11" t="str">
        <f>raw_data!A11</f>
        <v>T010</v>
      </c>
      <c r="B11" s="1">
        <f>raw_data!B11</f>
        <v>46084</v>
      </c>
      <c r="C11" t="str">
        <f>PROPER(TRIM(raw_data!C11))</f>
        <v>Beta Stores</v>
      </c>
      <c r="D11">
        <f>raw_data!D11</f>
        <v>610000</v>
      </c>
      <c r="E11" t="str">
        <f>raw_data!E11</f>
        <v>INR</v>
      </c>
      <c r="F11" t="str">
        <f>PROPER(TRIM(raw_data!F11))</f>
        <v>Captured</v>
      </c>
      <c r="G11">
        <f>IFERROR(VALUE(RIGHT(TRIM(raw_data!G11),2)), "")</f>
        <v>77</v>
      </c>
      <c r="H11" t="str">
        <f>IFERROR(UPPER(TRIM(raw_data!H11)),"")</f>
        <v/>
      </c>
      <c r="I11" t="str">
        <f>raw_data!I11</f>
        <v>U003</v>
      </c>
      <c r="J11" t="str">
        <f>raw_data!J11</f>
        <v>Card</v>
      </c>
    </row>
    <row r="12" spans="1:10" x14ac:dyDescent="0.3">
      <c r="A12" t="str">
        <f>raw_data!A12</f>
        <v>T011</v>
      </c>
      <c r="B12" s="1">
        <f>raw_data!B12</f>
        <v>46084</v>
      </c>
      <c r="C12" t="str">
        <f>PROPER(TRIM(raw_data!C12))</f>
        <v>Alpha Mart</v>
      </c>
      <c r="D12">
        <f>raw_data!D12</f>
        <v>195000</v>
      </c>
      <c r="E12" t="str">
        <f>raw_data!E12</f>
        <v>INR</v>
      </c>
      <c r="F12" t="str">
        <f>PROPER(TRIM(raw_data!F12))</f>
        <v>Failed E05 Timeout</v>
      </c>
      <c r="G12" t="str">
        <f>IFERROR(VALUE(RIGHT(TRIM(raw_data!G12),2)), "")</f>
        <v/>
      </c>
      <c r="H12" t="str">
        <f>IFERROR(UPPER(TRIM(raw_data!H12)),"")</f>
        <v/>
      </c>
      <c r="I12" t="str">
        <f>raw_data!I12</f>
        <v>U008</v>
      </c>
      <c r="J12" t="str">
        <f>raw_data!J12</f>
        <v>UPI</v>
      </c>
    </row>
    <row r="13" spans="1:10" x14ac:dyDescent="0.3">
      <c r="A13" t="str">
        <f>raw_data!A13</f>
        <v>T012</v>
      </c>
      <c r="B13" s="1">
        <f>raw_data!B13</f>
        <v>46085</v>
      </c>
      <c r="C13" t="str">
        <f>PROPER(TRIM(raw_data!C13))</f>
        <v>Beta Stores</v>
      </c>
      <c r="D13">
        <f>raw_data!D13</f>
        <v>250000</v>
      </c>
      <c r="E13" t="str">
        <f>raw_data!E13</f>
        <v>INR</v>
      </c>
      <c r="F13" t="str">
        <f>PROPER(TRIM(raw_data!F13))</f>
        <v>Captured</v>
      </c>
      <c r="G13">
        <f>IFERROR(VALUE(RIGHT(TRIM(raw_data!G13),2)), "")</f>
        <v>61</v>
      </c>
      <c r="H13" t="str">
        <f>IFERROR(UPPER(TRIM(raw_data!H13)),"")</f>
        <v>APAC</v>
      </c>
      <c r="I13" t="str">
        <f>raw_data!I13</f>
        <v>U009</v>
      </c>
      <c r="J13" t="str">
        <f>raw_data!J13</f>
        <v>Card</v>
      </c>
    </row>
    <row r="14" spans="1:10" x14ac:dyDescent="0.3">
      <c r="A14" t="str">
        <f>raw_data!A14</f>
        <v>T013</v>
      </c>
      <c r="B14" s="1">
        <f>raw_data!B14</f>
        <v>46085</v>
      </c>
      <c r="C14" t="str">
        <f>PROPER(TRIM(raw_data!C14))</f>
        <v>Alpha Mart</v>
      </c>
      <c r="D14">
        <f>raw_data!D14</f>
        <v>310000</v>
      </c>
      <c r="E14" t="str">
        <f>raw_data!E14</f>
        <v>INR</v>
      </c>
      <c r="F14" t="str">
        <f>PROPER(TRIM(raw_data!F14))</f>
        <v>Captured</v>
      </c>
      <c r="G14">
        <f>IFERROR(VALUE(RIGHT(TRIM(raw_data!G14),2)), "")</f>
        <v>54</v>
      </c>
      <c r="H14" t="str">
        <f>IFERROR(UPPER(TRIM(raw_data!H14)),"")</f>
        <v>APAC</v>
      </c>
      <c r="I14" t="str">
        <f>raw_data!I14</f>
        <v>U010</v>
      </c>
      <c r="J14" t="str">
        <f>raw_data!J14</f>
        <v>UPI</v>
      </c>
    </row>
    <row r="15" spans="1:10" x14ac:dyDescent="0.3">
      <c r="A15" t="str">
        <f>raw_data!A15</f>
        <v>T014</v>
      </c>
      <c r="B15" s="1">
        <f>raw_data!B15</f>
        <v>46085</v>
      </c>
      <c r="C15" t="str">
        <f>PROPER(TRIM(raw_data!C15))</f>
        <v>Beta Stores</v>
      </c>
      <c r="D15">
        <f>raw_data!D15</f>
        <v>470000</v>
      </c>
      <c r="E15" t="str">
        <f>raw_data!E15</f>
        <v>INR</v>
      </c>
      <c r="F15" t="str">
        <f>PROPER(TRIM(raw_data!F15))</f>
        <v>Captured</v>
      </c>
      <c r="G15">
        <f>IFERROR(VALUE(RIGHT(TRIM(raw_data!G15),2)), "")</f>
        <v>73</v>
      </c>
      <c r="H15" t="str">
        <f>IFERROR(UPPER(TRIM(raw_data!H15)),"")</f>
        <v>APAC</v>
      </c>
      <c r="I15" t="str">
        <f>raw_data!I15</f>
        <v>U001</v>
      </c>
      <c r="J15" t="str">
        <f>raw_data!J15</f>
        <v>NetBanking</v>
      </c>
    </row>
    <row r="16" spans="1:10" x14ac:dyDescent="0.3">
      <c r="A16" t="str">
        <f>raw_data!A16</f>
        <v>T015</v>
      </c>
      <c r="B16" s="1">
        <f>raw_data!B16</f>
        <v>46085</v>
      </c>
      <c r="C16" t="str">
        <f>PROPER(TRIM(raw_data!C16))</f>
        <v>Alpha Mart</v>
      </c>
      <c r="D16">
        <f>raw_data!D16</f>
        <v>130000</v>
      </c>
      <c r="E16" t="str">
        <f>raw_data!E16</f>
        <v>INR</v>
      </c>
      <c r="F16" t="str">
        <f>PROPER(TRIM(raw_data!F16))</f>
        <v>Captured</v>
      </c>
      <c r="G16">
        <f>IFERROR(VALUE(RIGHT(TRIM(raw_data!G16),2)), "")</f>
        <v>52</v>
      </c>
      <c r="H16" t="str">
        <f>IFERROR(UPPER(TRIM(raw_data!H16)),"")</f>
        <v/>
      </c>
      <c r="I16" t="str">
        <f>raw_data!I16</f>
        <v>U002</v>
      </c>
      <c r="J16" t="str">
        <f>raw_data!J16</f>
        <v>Card</v>
      </c>
    </row>
    <row r="17" spans="1:10" x14ac:dyDescent="0.3">
      <c r="A17" t="str">
        <f>raw_data!A17</f>
        <v>T016</v>
      </c>
      <c r="B17" s="1">
        <f>raw_data!B17</f>
        <v>46086</v>
      </c>
      <c r="C17" t="str">
        <f>PROPER(TRIM(raw_data!C17))</f>
        <v>Beta Stores</v>
      </c>
      <c r="D17">
        <f>raw_data!D17</f>
        <v>220000</v>
      </c>
      <c r="E17" t="str">
        <f>raw_data!E17</f>
        <v>INR</v>
      </c>
      <c r="F17" t="str">
        <f>PROPER(TRIM(raw_data!F17))</f>
        <v>Failed E05 Timeout</v>
      </c>
      <c r="G17">
        <f>IFERROR(VALUE(RIGHT(TRIM(raw_data!G17),2)), "")</f>
        <v>69</v>
      </c>
      <c r="H17" t="str">
        <f>IFERROR(UPPER(TRIM(raw_data!H17)),"")</f>
        <v/>
      </c>
      <c r="I17" t="str">
        <f>raw_data!I17</f>
        <v>U008</v>
      </c>
      <c r="J17" t="str">
        <f>raw_data!J17</f>
        <v>Card</v>
      </c>
    </row>
    <row r="18" spans="1:10" x14ac:dyDescent="0.3">
      <c r="A18" t="str">
        <f>raw_data!A18</f>
        <v>T017</v>
      </c>
      <c r="B18" s="1">
        <f>raw_data!B18</f>
        <v>46086</v>
      </c>
      <c r="C18" t="str">
        <f>PROPER(TRIM(raw_data!C18))</f>
        <v>Beta Stores</v>
      </c>
      <c r="D18">
        <f>raw_data!D18</f>
        <v>180000</v>
      </c>
      <c r="E18" t="str">
        <f>raw_data!E18</f>
        <v>INR</v>
      </c>
      <c r="F18" t="str">
        <f>PROPER(TRIM(raw_data!F18))</f>
        <v>Failed E05 Timeout</v>
      </c>
      <c r="G18">
        <f>IFERROR(VALUE(RIGHT(TRIM(raw_data!G18),2)), "")</f>
        <v>72</v>
      </c>
      <c r="H18" t="str">
        <f>IFERROR(UPPER(TRIM(raw_data!H18)),"")</f>
        <v>APAC</v>
      </c>
      <c r="I18" t="str">
        <f>raw_data!I18</f>
        <v>U008</v>
      </c>
      <c r="J18" t="str">
        <f>raw_data!J18</f>
        <v>Card</v>
      </c>
    </row>
    <row r="19" spans="1:10" x14ac:dyDescent="0.3">
      <c r="A19" t="str">
        <f>raw_data!A19</f>
        <v>T018</v>
      </c>
      <c r="B19" s="1">
        <f>raw_data!B19</f>
        <v>46086</v>
      </c>
      <c r="C19" t="str">
        <f>PROPER(TRIM(raw_data!C19))</f>
        <v>Beta Stores</v>
      </c>
      <c r="D19">
        <f>raw_data!D19</f>
        <v>145000</v>
      </c>
      <c r="E19" t="str">
        <f>raw_data!E19</f>
        <v>INR</v>
      </c>
      <c r="F19" t="str">
        <f>PROPER(TRIM(raw_data!F19))</f>
        <v>Chargeback</v>
      </c>
      <c r="G19">
        <f>IFERROR(VALUE(RIGHT(TRIM(raw_data!G19),2)), "")</f>
        <v>86</v>
      </c>
      <c r="H19" t="str">
        <f>IFERROR(UPPER(TRIM(raw_data!H19)),"")</f>
        <v>APAC</v>
      </c>
      <c r="I19" t="str">
        <f>raw_data!I19</f>
        <v>U008</v>
      </c>
      <c r="J19" t="str">
        <f>raw_data!J19</f>
        <v>UPI</v>
      </c>
    </row>
    <row r="20" spans="1:10" x14ac:dyDescent="0.3">
      <c r="A20" t="str">
        <f>raw_data!A20</f>
        <v>T019</v>
      </c>
      <c r="B20" s="1">
        <f>raw_data!B20</f>
        <v>46086</v>
      </c>
      <c r="C20" t="str">
        <f>PROPER(TRIM(raw_data!C20))</f>
        <v>Alpha Mart</v>
      </c>
      <c r="D20">
        <f>raw_data!D20</f>
        <v>260000</v>
      </c>
      <c r="E20" t="str">
        <f>raw_data!E20</f>
        <v>INR</v>
      </c>
      <c r="F20" t="str">
        <f>PROPER(TRIM(raw_data!F20))</f>
        <v>Failed E05 Timeout</v>
      </c>
      <c r="G20">
        <f>IFERROR(VALUE(RIGHT(TRIM(raw_data!G20),2)), "")</f>
        <v>67</v>
      </c>
      <c r="H20" t="str">
        <f>IFERROR(UPPER(TRIM(raw_data!H20)),"")</f>
        <v>APAC</v>
      </c>
      <c r="I20" t="str">
        <f>raw_data!I20</f>
        <v>U008</v>
      </c>
      <c r="J20" t="str">
        <f>raw_data!J20</f>
        <v>Wallet</v>
      </c>
    </row>
    <row r="21" spans="1:10" x14ac:dyDescent="0.3">
      <c r="A21" t="str">
        <f>raw_data!A21</f>
        <v>T020</v>
      </c>
      <c r="B21" s="1">
        <f>raw_data!B21</f>
        <v>46086</v>
      </c>
      <c r="C21" t="str">
        <f>PROPER(TRIM(raw_data!C21))</f>
        <v>Alpha Mart</v>
      </c>
      <c r="D21">
        <f>raw_data!D21</f>
        <v>520000</v>
      </c>
      <c r="E21" t="str">
        <f>raw_data!E21</f>
        <v>INR</v>
      </c>
      <c r="F21" t="str">
        <f>PROPER(TRIM(raw_data!F21))</f>
        <v>Captured</v>
      </c>
      <c r="G21">
        <f>IFERROR(VALUE(RIGHT(TRIM(raw_data!G21),2)), "")</f>
        <v>75</v>
      </c>
      <c r="H21" t="str">
        <f>IFERROR(UPPER(TRIM(raw_data!H21)),"")</f>
        <v>APAC</v>
      </c>
      <c r="I21" t="str">
        <f>raw_data!I21</f>
        <v>U005</v>
      </c>
      <c r="J21" t="str">
        <f>raw_data!J21</f>
        <v>UPI</v>
      </c>
    </row>
    <row r="22" spans="1:10" x14ac:dyDescent="0.3">
      <c r="A22" t="str">
        <f>raw_data!A22</f>
        <v>T021</v>
      </c>
      <c r="B22" s="1">
        <f>raw_data!B22</f>
        <v>46087</v>
      </c>
      <c r="C22" t="str">
        <f>PROPER(TRIM(raw_data!C22))</f>
        <v>Beta Stores</v>
      </c>
      <c r="D22">
        <f>raw_data!D22</f>
        <v>330000</v>
      </c>
      <c r="E22" t="str">
        <f>raw_data!E22</f>
        <v>INR</v>
      </c>
      <c r="F22" t="str">
        <f>PROPER(TRIM(raw_data!F22))</f>
        <v>Captured</v>
      </c>
      <c r="G22">
        <f>IFERROR(VALUE(RIGHT(TRIM(raw_data!G22),2)), "")</f>
        <v>63</v>
      </c>
      <c r="H22" t="str">
        <f>IFERROR(UPPER(TRIM(raw_data!H22)),"")</f>
        <v/>
      </c>
      <c r="I22" t="str">
        <f>raw_data!I22</f>
        <v>U006</v>
      </c>
      <c r="J22" t="str">
        <f>raw_data!J22</f>
        <v>Card</v>
      </c>
    </row>
    <row r="23" spans="1:10" x14ac:dyDescent="0.3">
      <c r="A23" t="str">
        <f>raw_data!A23</f>
        <v>T022</v>
      </c>
      <c r="B23" s="1">
        <f>raw_data!B23</f>
        <v>46087</v>
      </c>
      <c r="C23" t="str">
        <f>PROPER(TRIM(raw_data!C23))</f>
        <v>Alpha Mart</v>
      </c>
      <c r="D23">
        <f>raw_data!D23</f>
        <v>410000</v>
      </c>
      <c r="E23" t="str">
        <f>raw_data!E23</f>
        <v>INR</v>
      </c>
      <c r="F23" t="str">
        <f>PROPER(TRIM(raw_data!F23))</f>
        <v>Captured</v>
      </c>
      <c r="G23">
        <f>IFERROR(VALUE(RIGHT(TRIM(raw_data!G23),2)), "")</f>
        <v>60</v>
      </c>
      <c r="H23" t="str">
        <f>IFERROR(UPPER(TRIM(raw_data!H23)),"")</f>
        <v>APAC</v>
      </c>
      <c r="I23" t="str">
        <f>raw_data!I23</f>
        <v>U007</v>
      </c>
      <c r="J23" t="str">
        <f>raw_data!J23</f>
        <v>UPI</v>
      </c>
    </row>
    <row r="24" spans="1:10" x14ac:dyDescent="0.3">
      <c r="A24" t="str">
        <f>raw_data!A24</f>
        <v>T023</v>
      </c>
      <c r="B24" s="1">
        <f>raw_data!B24</f>
        <v>46082</v>
      </c>
      <c r="C24" t="str">
        <f>PROPER(TRIM(raw_data!C24))</f>
        <v>City Pharma</v>
      </c>
      <c r="D24">
        <f>raw_data!D24</f>
        <v>5200</v>
      </c>
      <c r="E24" t="str">
        <f>raw_data!E24</f>
        <v>EUR</v>
      </c>
      <c r="F24" t="str">
        <f>PROPER(TRIM(raw_data!F24))</f>
        <v>Captured</v>
      </c>
      <c r="G24">
        <f>IFERROR(VALUE(RIGHT(TRIM(raw_data!G24),2)), "")</f>
        <v>42</v>
      </c>
      <c r="H24" t="str">
        <f>IFERROR(UPPER(TRIM(raw_data!H24)),"")</f>
        <v>EU</v>
      </c>
      <c r="I24" t="str">
        <f>raw_data!I24</f>
        <v>U003</v>
      </c>
      <c r="J24" t="str">
        <f>raw_data!J24</f>
        <v>Card</v>
      </c>
    </row>
    <row r="25" spans="1:10" x14ac:dyDescent="0.3">
      <c r="A25" t="str">
        <f>raw_data!A25</f>
        <v>T024</v>
      </c>
      <c r="B25" s="1">
        <f>raw_data!B25</f>
        <v>46083</v>
      </c>
      <c r="C25" t="str">
        <f>PROPER(TRIM(raw_data!C25))</f>
        <v>Eco Home</v>
      </c>
      <c r="D25">
        <f>raw_data!D25</f>
        <v>6100</v>
      </c>
      <c r="E25" t="str">
        <f>raw_data!E25</f>
        <v>EUR</v>
      </c>
      <c r="F25" t="str">
        <f>PROPER(TRIM(raw_data!F25))</f>
        <v>Chargeback</v>
      </c>
      <c r="G25">
        <f>IFERROR(VALUE(RIGHT(TRIM(raw_data!G25),2)), "")</f>
        <v>65</v>
      </c>
      <c r="H25" t="str">
        <f>IFERROR(UPPER(TRIM(raw_data!H25)),"")</f>
        <v>EU</v>
      </c>
      <c r="I25" t="str">
        <f>raw_data!I25</f>
        <v>U004</v>
      </c>
      <c r="J25" t="str">
        <f>raw_data!J25</f>
        <v>Card</v>
      </c>
    </row>
    <row r="26" spans="1:10" x14ac:dyDescent="0.3">
      <c r="A26" t="str">
        <f>raw_data!A26</f>
        <v>T025</v>
      </c>
      <c r="B26" s="1">
        <f>raw_data!B26</f>
        <v>46084</v>
      </c>
      <c r="C26" t="str">
        <f>PROPER(TRIM(raw_data!C26))</f>
        <v>City Pharma</v>
      </c>
      <c r="D26">
        <f>raw_data!D26</f>
        <v>2800</v>
      </c>
      <c r="E26" t="str">
        <f>raw_data!E26</f>
        <v>EUR</v>
      </c>
      <c r="F26" t="str">
        <f>PROPER(TRIM(raw_data!F26))</f>
        <v>Captured</v>
      </c>
      <c r="G26">
        <f>IFERROR(VALUE(RIGHT(TRIM(raw_data!G26),2)), "")</f>
        <v>38</v>
      </c>
      <c r="H26" t="str">
        <f>IFERROR(UPPER(TRIM(raw_data!H26)),"")</f>
        <v>EU</v>
      </c>
      <c r="I26" t="str">
        <f>raw_data!I26</f>
        <v>U005</v>
      </c>
      <c r="J26" t="str">
        <f>raw_data!J26</f>
        <v>Wallet</v>
      </c>
    </row>
    <row r="27" spans="1:10" x14ac:dyDescent="0.3">
      <c r="A27" t="str">
        <f>raw_data!A27</f>
        <v>T026</v>
      </c>
      <c r="B27" s="1">
        <f>raw_data!B27</f>
        <v>46086</v>
      </c>
      <c r="C27" t="str">
        <f>PROPER(TRIM(raw_data!C27))</f>
        <v>Eco Home</v>
      </c>
      <c r="D27">
        <f>raw_data!D27</f>
        <v>3300</v>
      </c>
      <c r="E27" t="str">
        <f>raw_data!E27</f>
        <v>EUR</v>
      </c>
      <c r="F27" t="str">
        <f>PROPER(TRIM(raw_data!F27))</f>
        <v>Failed E05 Timeout</v>
      </c>
      <c r="G27">
        <f>IFERROR(VALUE(RIGHT(TRIM(raw_data!G27),2)), "")</f>
        <v>44</v>
      </c>
      <c r="H27" t="str">
        <f>IFERROR(UPPER(TRIM(raw_data!H27)),"")</f>
        <v>EU</v>
      </c>
      <c r="I27" t="str">
        <f>raw_data!I27</f>
        <v>U006</v>
      </c>
      <c r="J27" t="str">
        <f>raw_data!J27</f>
        <v>NetBanking</v>
      </c>
    </row>
    <row r="28" spans="1:10" x14ac:dyDescent="0.3">
      <c r="A28" t="str">
        <f>raw_data!A28</f>
        <v>T027</v>
      </c>
      <c r="B28" s="1">
        <f>raw_data!B28</f>
        <v>46082</v>
      </c>
      <c r="C28" t="str">
        <f>PROPER(TRIM(raw_data!C28))</f>
        <v>Delta Travels</v>
      </c>
      <c r="D28">
        <f>raw_data!D28</f>
        <v>7200</v>
      </c>
      <c r="E28" t="str">
        <f>raw_data!E28</f>
        <v>USD</v>
      </c>
      <c r="F28" t="str">
        <f>PROPER(TRIM(raw_data!F28))</f>
        <v>Captured</v>
      </c>
      <c r="G28">
        <f>IFERROR(VALUE(RIGHT(TRIM(raw_data!G28),2)), "")</f>
        <v>49</v>
      </c>
      <c r="H28" t="str">
        <f>IFERROR(UPPER(TRIM(raw_data!H28)),"")</f>
        <v>US</v>
      </c>
      <c r="I28" t="str">
        <f>raw_data!I28</f>
        <v>U007</v>
      </c>
      <c r="J28" t="str">
        <f>raw_data!J28</f>
        <v>Card</v>
      </c>
    </row>
    <row r="29" spans="1:10" x14ac:dyDescent="0.3">
      <c r="A29" t="str">
        <f>raw_data!A29</f>
        <v>T028</v>
      </c>
      <c r="B29" s="1">
        <f>raw_data!B29</f>
        <v>46083</v>
      </c>
      <c r="C29" t="str">
        <f>PROPER(TRIM(raw_data!C29))</f>
        <v>Delta Travels</v>
      </c>
      <c r="D29">
        <f>raw_data!D29</f>
        <v>3100</v>
      </c>
      <c r="E29" t="str">
        <f>raw_data!E29</f>
        <v>USD</v>
      </c>
      <c r="F29" t="str">
        <f>PROPER(TRIM(raw_data!F29))</f>
        <v>Captured</v>
      </c>
      <c r="G29">
        <f>IFERROR(VALUE(RIGHT(TRIM(raw_data!G29),2)), "")</f>
        <v>41</v>
      </c>
      <c r="H29" t="str">
        <f>IFERROR(UPPER(TRIM(raw_data!H29)),"")</f>
        <v>US</v>
      </c>
      <c r="I29" t="str">
        <f>raw_data!I29</f>
        <v>U008</v>
      </c>
      <c r="J29" t="str">
        <f>raw_data!J29</f>
        <v>Card</v>
      </c>
    </row>
    <row r="30" spans="1:10" x14ac:dyDescent="0.3">
      <c r="A30" t="str">
        <f>raw_data!A30</f>
        <v>T029</v>
      </c>
      <c r="B30" s="1">
        <f>raw_data!B30</f>
        <v>46085</v>
      </c>
      <c r="C30" t="str">
        <f>PROPER(TRIM(raw_data!C30))</f>
        <v>Delta Travels</v>
      </c>
      <c r="D30">
        <f>raw_data!D30</f>
        <v>2500</v>
      </c>
      <c r="E30" t="str">
        <f>raw_data!E30</f>
        <v>USD</v>
      </c>
      <c r="F30" t="str">
        <f>PROPER(TRIM(raw_data!F30))</f>
        <v>Chargeback</v>
      </c>
      <c r="G30">
        <f>IFERROR(VALUE(RIGHT(TRIM(raw_data!G30),2)), "")</f>
        <v>58</v>
      </c>
      <c r="H30" t="str">
        <f>IFERROR(UPPER(TRIM(raw_data!H30)),"")</f>
        <v>US</v>
      </c>
      <c r="I30" t="str">
        <f>raw_data!I30</f>
        <v>U009</v>
      </c>
      <c r="J30" t="str">
        <f>raw_data!J30</f>
        <v>Wallet</v>
      </c>
    </row>
    <row r="31" spans="1:10" x14ac:dyDescent="0.3">
      <c r="A31" t="str">
        <f>raw_data!A31</f>
        <v>T030</v>
      </c>
      <c r="B31" s="1">
        <f>raw_data!B31</f>
        <v>46087</v>
      </c>
      <c r="C31" t="str">
        <f>PROPER(TRIM(raw_data!C31))</f>
        <v>Delta Travels</v>
      </c>
      <c r="D31">
        <f>raw_data!D31</f>
        <v>1800</v>
      </c>
      <c r="E31" t="str">
        <f>raw_data!E31</f>
        <v>USD</v>
      </c>
      <c r="F31" t="str">
        <f>PROPER(TRIM(raw_data!F31))</f>
        <v>Failed E05 Timeout</v>
      </c>
      <c r="G31">
        <f>IFERROR(VALUE(RIGHT(TRIM(raw_data!G31),2)), "")</f>
        <v>47</v>
      </c>
      <c r="H31" t="str">
        <f>IFERROR(UPPER(TRIM(raw_data!H31)),"")</f>
        <v>US</v>
      </c>
      <c r="I31" t="str">
        <f>raw_data!I31</f>
        <v>U010</v>
      </c>
      <c r="J31" t="str">
        <f>raw_data!J31</f>
        <v>UPI</v>
      </c>
    </row>
  </sheetData>
  <autoFilter ref="A1:J31" xr:uid="{47C537E4-6271-41CF-B479-77533D87275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86FB-5763-48BC-B56A-9683442E21C3}">
  <dimension ref="A1:Q31"/>
  <sheetViews>
    <sheetView workbookViewId="0">
      <selection sqref="A1:Q31"/>
    </sheetView>
  </sheetViews>
  <sheetFormatPr defaultRowHeight="14.4" x14ac:dyDescent="0.3"/>
  <cols>
    <col min="1" max="1" width="17.6640625" customWidth="1"/>
    <col min="2" max="2" width="19.21875" customWidth="1"/>
    <col min="3" max="4" width="20.77734375" customWidth="1"/>
    <col min="5" max="5" width="16.33203125" customWidth="1"/>
    <col min="6" max="6" width="12.6640625" customWidth="1"/>
    <col min="7" max="7" width="16.44140625" customWidth="1"/>
    <col min="8" max="8" width="21.88671875" customWidth="1"/>
    <col min="9" max="9" width="24.6640625" style="6" customWidth="1"/>
    <col min="10" max="10" width="19.109375" customWidth="1"/>
    <col min="11" max="11" width="16" customWidth="1"/>
    <col min="12" max="12" width="20.44140625" customWidth="1"/>
    <col min="13" max="13" width="22.6640625" customWidth="1"/>
    <col min="14" max="14" width="11" customWidth="1"/>
    <col min="15" max="15" width="23.44140625" customWidth="1"/>
    <col min="16" max="16" width="16.109375" customWidth="1"/>
    <col min="17" max="17" width="14.77734375" customWidth="1"/>
  </cols>
  <sheetData>
    <row r="1" spans="1:17" x14ac:dyDescent="0.3">
      <c r="A1" s="2" t="s">
        <v>0</v>
      </c>
      <c r="B1" s="3" t="s">
        <v>1</v>
      </c>
      <c r="C1" s="3" t="s">
        <v>2</v>
      </c>
      <c r="D1" s="3" t="s">
        <v>118</v>
      </c>
      <c r="E1" s="3" t="s">
        <v>3</v>
      </c>
      <c r="F1" s="3" t="s">
        <v>4</v>
      </c>
      <c r="G1" s="3" t="s">
        <v>145</v>
      </c>
      <c r="H1" s="3" t="s">
        <v>146</v>
      </c>
      <c r="I1" s="5" t="s">
        <v>149</v>
      </c>
      <c r="J1" s="3" t="s">
        <v>5</v>
      </c>
      <c r="K1" s="3" t="s">
        <v>6</v>
      </c>
      <c r="L1" s="3" t="s">
        <v>7</v>
      </c>
      <c r="M1" s="3" t="s">
        <v>140</v>
      </c>
      <c r="N1" s="3" t="s">
        <v>8</v>
      </c>
      <c r="O1" s="4" t="s">
        <v>9</v>
      </c>
      <c r="P1" s="7" t="s">
        <v>147</v>
      </c>
      <c r="Q1" s="7" t="s">
        <v>148</v>
      </c>
    </row>
    <row r="2" spans="1:17" x14ac:dyDescent="0.3">
      <c r="A2" t="str">
        <f>cleaned_data!A2</f>
        <v>T001</v>
      </c>
      <c r="B2" s="1">
        <f>cleaned_data!B2</f>
        <v>46082</v>
      </c>
      <c r="C2" t="str">
        <f>cleaned_data!C2</f>
        <v>Alpha Mart</v>
      </c>
      <c r="D2" t="str">
        <f>IFERROR(VLOOKUP($C2,merchant_master!$C:$D,2,FALSE),"")</f>
        <v>M001</v>
      </c>
      <c r="E2">
        <f>cleaned_data!D2</f>
        <v>420000</v>
      </c>
      <c r="F2" t="str">
        <f>cleaned_data!E2</f>
        <v>INR</v>
      </c>
      <c r="G2" t="str">
        <f>TEXT($B2, "dd-mm-yyyy")&amp;"_"&amp;$F2</f>
        <v>01-03-2026_INR</v>
      </c>
      <c r="H2">
        <f>VLOOKUP($G2, exchange_rates!$D:$E,2,FALSE)</f>
        <v>1.1900000000000001E-2</v>
      </c>
      <c r="I2" s="6">
        <f>ROUND($E2*$H2,2)</f>
        <v>4998</v>
      </c>
      <c r="J2" t="str">
        <f>cleaned_data!F2</f>
        <v>Captured</v>
      </c>
      <c r="K2">
        <f>cleaned_data!G2</f>
        <v>62</v>
      </c>
      <c r="L2" t="str">
        <f>cleaned_data!H2</f>
        <v>APAC</v>
      </c>
      <c r="M2" t="str">
        <f>IF(cleaned_data!H3&lt;&gt;"",cleaned_data!H3,VLOOKUP($C2,merchant_master!$C:$E,3,FALSE))</f>
        <v>APAC</v>
      </c>
      <c r="N2" t="str">
        <f>cleaned_data!I2</f>
        <v>U001</v>
      </c>
      <c r="O2" t="str">
        <f>cleaned_data!J2</f>
        <v>UPI</v>
      </c>
      <c r="P2">
        <f>_xlfn.IFS(AND($M2="APAC",$I2&gt;5000),1,AND($M2="EU",$I2&gt;6000),1,AND($M2="US",$I2&gt;7000),1,TRUE,0)</f>
        <v>0</v>
      </c>
      <c r="Q2">
        <f>IF(OR($K2&gt;70,ISNUMBER(SEARCH("chargeback",$J2))),1,0)</f>
        <v>0</v>
      </c>
    </row>
    <row r="3" spans="1:17" x14ac:dyDescent="0.3">
      <c r="A3" t="str">
        <f>cleaned_data!A3</f>
        <v>T002</v>
      </c>
      <c r="B3" s="1">
        <f>cleaned_data!B3</f>
        <v>46082</v>
      </c>
      <c r="C3" t="str">
        <f>cleaned_data!C3</f>
        <v>Alpha Mart</v>
      </c>
      <c r="D3" t="str">
        <f>IFERROR(VLOOKUP($C3,merchant_master!$C:$D,2,FALSE),"")</f>
        <v>M001</v>
      </c>
      <c r="E3">
        <f>cleaned_data!D3</f>
        <v>210000</v>
      </c>
      <c r="F3" t="str">
        <f>cleaned_data!E3</f>
        <v>INR</v>
      </c>
      <c r="G3" t="str">
        <f t="shared" ref="G3:G31" si="0">TEXT($B3, "dd-mm-yyyy")&amp;"_"&amp;$F3</f>
        <v>01-03-2026_INR</v>
      </c>
      <c r="H3">
        <f>VLOOKUP($G3, exchange_rates!$D:$E,2,FALSE)</f>
        <v>1.1900000000000001E-2</v>
      </c>
      <c r="I3" s="6">
        <f t="shared" ref="I3:I31" si="1">ROUND($E3*$H3,2)</f>
        <v>2499</v>
      </c>
      <c r="J3" t="str">
        <f>cleaned_data!F3</f>
        <v>Captured</v>
      </c>
      <c r="K3">
        <f>cleaned_data!G3</f>
        <v>55</v>
      </c>
      <c r="L3" t="str">
        <f>cleaned_data!H3</f>
        <v/>
      </c>
      <c r="M3" t="str">
        <f>IF(cleaned_data!H4&lt;&gt;"",cleaned_data!H4,VLOOKUP($C3,merchant_master!$C:$E,3,FALSE))</f>
        <v>APAC</v>
      </c>
      <c r="N3" t="str">
        <f>cleaned_data!I3</f>
        <v>U002</v>
      </c>
      <c r="O3" t="str">
        <f>cleaned_data!J3</f>
        <v>Card</v>
      </c>
      <c r="P3">
        <f t="shared" ref="P3:P31" si="2">_xlfn.IFS(AND($M3="APAC",$I3&gt;5000),1,AND($M3="EU",$I3&gt;6000),1,AND($M3="US",$I3&gt;7000),1,TRUE,0)</f>
        <v>0</v>
      </c>
      <c r="Q3">
        <f t="shared" ref="Q3:Q31" si="3">IF(OR($K3&gt;70,ISNUMBER(SEARCH("chargeback",$J3))),1,0)</f>
        <v>0</v>
      </c>
    </row>
    <row r="4" spans="1:17" x14ac:dyDescent="0.3">
      <c r="A4" t="str">
        <f>cleaned_data!A4</f>
        <v>T003</v>
      </c>
      <c r="B4" s="1">
        <f>cleaned_data!B4</f>
        <v>46082</v>
      </c>
      <c r="C4" t="str">
        <f>cleaned_data!C4</f>
        <v>Beta Stores</v>
      </c>
      <c r="D4" t="str">
        <f>IFERROR(VLOOKUP($C4,merchant_master!$C:$D,2,FALSE),"")</f>
        <v>M002</v>
      </c>
      <c r="E4">
        <f>cleaned_data!D4</f>
        <v>510000</v>
      </c>
      <c r="F4" t="str">
        <f>cleaned_data!E4</f>
        <v>INR</v>
      </c>
      <c r="G4" t="str">
        <f t="shared" si="0"/>
        <v>01-03-2026_INR</v>
      </c>
      <c r="H4">
        <f>VLOOKUP($G4, exchange_rates!$D:$E,2,FALSE)</f>
        <v>1.1900000000000001E-2</v>
      </c>
      <c r="I4" s="6">
        <f t="shared" si="1"/>
        <v>6069</v>
      </c>
      <c r="J4" t="str">
        <f>cleaned_data!F4</f>
        <v>Captured</v>
      </c>
      <c r="K4">
        <f>cleaned_data!G4</f>
        <v>71</v>
      </c>
      <c r="L4" t="str">
        <f>cleaned_data!H4</f>
        <v>APAC</v>
      </c>
      <c r="M4" t="str">
        <f>IF(cleaned_data!H5&lt;&gt;"",cleaned_data!H5,VLOOKUP($C4,merchant_master!$C:$E,3,FALSE))</f>
        <v>APAC</v>
      </c>
      <c r="N4" t="str">
        <f>cleaned_data!I4</f>
        <v>U003</v>
      </c>
      <c r="O4" t="str">
        <f>cleaned_data!J4</f>
        <v>NetBanking</v>
      </c>
      <c r="P4">
        <f t="shared" si="2"/>
        <v>1</v>
      </c>
      <c r="Q4">
        <f t="shared" si="3"/>
        <v>1</v>
      </c>
    </row>
    <row r="5" spans="1:17" x14ac:dyDescent="0.3">
      <c r="A5" t="str">
        <f>cleaned_data!A5</f>
        <v>T004</v>
      </c>
      <c r="B5" s="1">
        <f>cleaned_data!B5</f>
        <v>46083</v>
      </c>
      <c r="C5" t="str">
        <f>cleaned_data!C5</f>
        <v>Beta Stores</v>
      </c>
      <c r="D5" t="str">
        <f>IFERROR(VLOOKUP($C5,merchant_master!$C:$D,2,FALSE),"")</f>
        <v>M002</v>
      </c>
      <c r="E5">
        <f>cleaned_data!D5</f>
        <v>160000</v>
      </c>
      <c r="F5" t="str">
        <f>cleaned_data!E5</f>
        <v>INR</v>
      </c>
      <c r="G5" t="str">
        <f t="shared" si="0"/>
        <v>02-03-2026_INR</v>
      </c>
      <c r="H5">
        <f>VLOOKUP($G5, exchange_rates!$D:$E,2,FALSE)</f>
        <v>1.2E-2</v>
      </c>
      <c r="I5" s="6">
        <f t="shared" si="1"/>
        <v>1920</v>
      </c>
      <c r="J5" t="str">
        <f>cleaned_data!F5</f>
        <v>Failed E05 Timeout</v>
      </c>
      <c r="K5">
        <f>cleaned_data!G5</f>
        <v>68</v>
      </c>
      <c r="L5" t="str">
        <f>cleaned_data!H5</f>
        <v>APAC</v>
      </c>
      <c r="M5" t="str">
        <f>IF(cleaned_data!H6&lt;&gt;"",cleaned_data!H6,VLOOKUP($C5,merchant_master!$C:$E,3,FALSE))</f>
        <v>APAC</v>
      </c>
      <c r="N5" t="str">
        <f>cleaned_data!I5</f>
        <v>U004</v>
      </c>
      <c r="O5" t="str">
        <f>cleaned_data!J5</f>
        <v>Card</v>
      </c>
      <c r="P5">
        <f t="shared" si="2"/>
        <v>0</v>
      </c>
      <c r="Q5">
        <f t="shared" si="3"/>
        <v>0</v>
      </c>
    </row>
    <row r="6" spans="1:17" x14ac:dyDescent="0.3">
      <c r="A6" t="str">
        <f>cleaned_data!A6</f>
        <v>T005</v>
      </c>
      <c r="B6" s="1">
        <f>cleaned_data!B6</f>
        <v>46083</v>
      </c>
      <c r="C6" t="str">
        <f>cleaned_data!C6</f>
        <v>Alpha Mart</v>
      </c>
      <c r="D6" t="str">
        <f>IFERROR(VLOOKUP($C6,merchant_master!$C:$D,2,FALSE),"")</f>
        <v>M001</v>
      </c>
      <c r="E6">
        <f>cleaned_data!D6</f>
        <v>390000</v>
      </c>
      <c r="F6" t="str">
        <f>cleaned_data!E6</f>
        <v>INR</v>
      </c>
      <c r="G6" t="str">
        <f t="shared" si="0"/>
        <v>02-03-2026_INR</v>
      </c>
      <c r="H6">
        <f>VLOOKUP($G6, exchange_rates!$D:$E,2,FALSE)</f>
        <v>1.2E-2</v>
      </c>
      <c r="I6" s="6">
        <f t="shared" si="1"/>
        <v>4680</v>
      </c>
      <c r="J6" t="str">
        <f>cleaned_data!F6</f>
        <v>Captured</v>
      </c>
      <c r="K6">
        <f>cleaned_data!G6</f>
        <v>58</v>
      </c>
      <c r="L6" t="str">
        <f>cleaned_data!H6</f>
        <v/>
      </c>
      <c r="M6" t="str">
        <f>IF(cleaned_data!H7&lt;&gt;"",cleaned_data!H7,VLOOKUP($C6,merchant_master!$C:$E,3,FALSE))</f>
        <v>APAC</v>
      </c>
      <c r="N6" t="str">
        <f>cleaned_data!I6</f>
        <v>U001</v>
      </c>
      <c r="O6" t="str">
        <f>cleaned_data!J6</f>
        <v>UPI</v>
      </c>
      <c r="P6">
        <f t="shared" si="2"/>
        <v>0</v>
      </c>
      <c r="Q6">
        <f t="shared" si="3"/>
        <v>0</v>
      </c>
    </row>
    <row r="7" spans="1:17" x14ac:dyDescent="0.3">
      <c r="A7" t="str">
        <f>cleaned_data!A7</f>
        <v>T006</v>
      </c>
      <c r="B7" s="1">
        <f>cleaned_data!B7</f>
        <v>46083</v>
      </c>
      <c r="C7" t="str">
        <f>cleaned_data!C7</f>
        <v>Beta Stores</v>
      </c>
      <c r="D7" t="str">
        <f>IFERROR(VLOOKUP($C7,merchant_master!$C:$D,2,FALSE),"")</f>
        <v>M002</v>
      </c>
      <c r="E7">
        <f>cleaned_data!D7</f>
        <v>275000</v>
      </c>
      <c r="F7" t="str">
        <f>cleaned_data!E7</f>
        <v>INR</v>
      </c>
      <c r="G7" t="str">
        <f t="shared" si="0"/>
        <v>02-03-2026_INR</v>
      </c>
      <c r="H7">
        <f>VLOOKUP($G7, exchange_rates!$D:$E,2,FALSE)</f>
        <v>1.2E-2</v>
      </c>
      <c r="I7" s="6">
        <f t="shared" si="1"/>
        <v>3300</v>
      </c>
      <c r="J7" t="str">
        <f>cleaned_data!F7</f>
        <v>Captured</v>
      </c>
      <c r="K7">
        <f>cleaned_data!G7</f>
        <v>64</v>
      </c>
      <c r="L7" t="str">
        <f>cleaned_data!H7</f>
        <v/>
      </c>
      <c r="M7" t="str">
        <f>IF(cleaned_data!H8&lt;&gt;"",cleaned_data!H8,VLOOKUP($C7,merchant_master!$C:$E,3,FALSE))</f>
        <v>APAC</v>
      </c>
      <c r="N7" t="str">
        <f>cleaned_data!I7</f>
        <v>U005</v>
      </c>
      <c r="O7" t="str">
        <f>cleaned_data!J7</f>
        <v>Wallet</v>
      </c>
      <c r="P7">
        <f t="shared" si="2"/>
        <v>0</v>
      </c>
      <c r="Q7">
        <f t="shared" si="3"/>
        <v>0</v>
      </c>
    </row>
    <row r="8" spans="1:17" x14ac:dyDescent="0.3">
      <c r="A8" t="str">
        <f>cleaned_data!A8</f>
        <v>T007</v>
      </c>
      <c r="B8" s="1">
        <f>cleaned_data!B8</f>
        <v>46083</v>
      </c>
      <c r="C8" t="str">
        <f>cleaned_data!C8</f>
        <v>Alpha Mart</v>
      </c>
      <c r="D8" t="str">
        <f>IFERROR(VLOOKUP($C8,merchant_master!$C:$D,2,FALSE),"")</f>
        <v>M001</v>
      </c>
      <c r="E8">
        <f>cleaned_data!D8</f>
        <v>450000</v>
      </c>
      <c r="F8" t="str">
        <f>cleaned_data!E8</f>
        <v>INR</v>
      </c>
      <c r="G8" t="str">
        <f t="shared" si="0"/>
        <v>02-03-2026_INR</v>
      </c>
      <c r="H8">
        <f>VLOOKUP($G8, exchange_rates!$D:$E,2,FALSE)</f>
        <v>1.2E-2</v>
      </c>
      <c r="I8" s="6">
        <f t="shared" si="1"/>
        <v>5400</v>
      </c>
      <c r="J8" t="str">
        <f>cleaned_data!F8</f>
        <v>Chargeback</v>
      </c>
      <c r="K8">
        <f>cleaned_data!G8</f>
        <v>83</v>
      </c>
      <c r="L8" t="str">
        <f>cleaned_data!H8</f>
        <v>APAC</v>
      </c>
      <c r="M8" t="str">
        <f>IF(cleaned_data!H9&lt;&gt;"",cleaned_data!H9,VLOOKUP($C8,merchant_master!$C:$E,3,FALSE))</f>
        <v>APAC</v>
      </c>
      <c r="N8" t="str">
        <f>cleaned_data!I8</f>
        <v>U006</v>
      </c>
      <c r="O8" t="str">
        <f>cleaned_data!J8</f>
        <v>Card</v>
      </c>
      <c r="P8">
        <f t="shared" si="2"/>
        <v>1</v>
      </c>
      <c r="Q8">
        <f t="shared" si="3"/>
        <v>1</v>
      </c>
    </row>
    <row r="9" spans="1:17" x14ac:dyDescent="0.3">
      <c r="A9" t="str">
        <f>cleaned_data!A9</f>
        <v>T008</v>
      </c>
      <c r="B9" s="1">
        <f>cleaned_data!B9</f>
        <v>46084</v>
      </c>
      <c r="C9" t="str">
        <f>cleaned_data!C9</f>
        <v>Beta Stores</v>
      </c>
      <c r="D9" t="str">
        <f>IFERROR(VLOOKUP($C9,merchant_master!$C:$D,2,FALSE),"")</f>
        <v>M002</v>
      </c>
      <c r="E9">
        <f>cleaned_data!D9</f>
        <v>340000</v>
      </c>
      <c r="F9" t="str">
        <f>cleaned_data!E9</f>
        <v>INR</v>
      </c>
      <c r="G9" t="str">
        <f t="shared" si="0"/>
        <v>03-03-2026_INR</v>
      </c>
      <c r="H9">
        <f>VLOOKUP($G9, exchange_rates!$D:$E,2,FALSE)</f>
        <v>1.21E-2</v>
      </c>
      <c r="I9" s="6">
        <f t="shared" si="1"/>
        <v>4114</v>
      </c>
      <c r="J9" t="str">
        <f>cleaned_data!F9</f>
        <v>Captured</v>
      </c>
      <c r="K9">
        <f>cleaned_data!G9</f>
        <v>59</v>
      </c>
      <c r="L9" t="str">
        <f>cleaned_data!H9</f>
        <v/>
      </c>
      <c r="M9" t="str">
        <f>IF(cleaned_data!H10&lt;&gt;"",cleaned_data!H10,VLOOKUP($C9,merchant_master!$C:$E,3,FALSE))</f>
        <v>APAC</v>
      </c>
      <c r="N9" t="str">
        <f>cleaned_data!I9</f>
        <v>U007</v>
      </c>
      <c r="O9" t="str">
        <f>cleaned_data!J9</f>
        <v>UPI</v>
      </c>
      <c r="P9">
        <f t="shared" si="2"/>
        <v>0</v>
      </c>
      <c r="Q9">
        <f t="shared" si="3"/>
        <v>0</v>
      </c>
    </row>
    <row r="10" spans="1:17" x14ac:dyDescent="0.3">
      <c r="A10" t="str">
        <f>cleaned_data!A10</f>
        <v>T009</v>
      </c>
      <c r="B10" s="1">
        <f>cleaned_data!B10</f>
        <v>46084</v>
      </c>
      <c r="C10" t="str">
        <f>cleaned_data!C10</f>
        <v>Alpha Mart</v>
      </c>
      <c r="D10" t="str">
        <f>IFERROR(VLOOKUP($C10,merchant_master!$C:$D,2,FALSE),"")</f>
        <v>M001</v>
      </c>
      <c r="E10">
        <f>cleaned_data!D10</f>
        <v>125000</v>
      </c>
      <c r="F10" t="str">
        <f>cleaned_data!E10</f>
        <v>INR</v>
      </c>
      <c r="G10" t="str">
        <f t="shared" si="0"/>
        <v>03-03-2026_INR</v>
      </c>
      <c r="H10">
        <f>VLOOKUP($G10, exchange_rates!$D:$E,2,FALSE)</f>
        <v>1.21E-2</v>
      </c>
      <c r="I10" s="6">
        <f t="shared" si="1"/>
        <v>1512.5</v>
      </c>
      <c r="J10" t="str">
        <f>cleaned_data!F10</f>
        <v>Captured</v>
      </c>
      <c r="K10">
        <f>cleaned_data!G10</f>
        <v>46</v>
      </c>
      <c r="L10" t="str">
        <f>cleaned_data!H10</f>
        <v>APAC</v>
      </c>
      <c r="M10" t="str">
        <f>IF(cleaned_data!H11&lt;&gt;"",cleaned_data!H11,VLOOKUP($C10,merchant_master!$C:$E,3,FALSE))</f>
        <v>APAC</v>
      </c>
      <c r="N10" t="str">
        <f>cleaned_data!I10</f>
        <v>U002</v>
      </c>
      <c r="O10" t="str">
        <f>cleaned_data!J10</f>
        <v>Wallet</v>
      </c>
      <c r="P10">
        <f t="shared" si="2"/>
        <v>0</v>
      </c>
      <c r="Q10">
        <f t="shared" si="3"/>
        <v>0</v>
      </c>
    </row>
    <row r="11" spans="1:17" x14ac:dyDescent="0.3">
      <c r="A11" t="str">
        <f>cleaned_data!A11</f>
        <v>T010</v>
      </c>
      <c r="B11" s="1">
        <f>cleaned_data!B11</f>
        <v>46084</v>
      </c>
      <c r="C11" t="str">
        <f>cleaned_data!C11</f>
        <v>Beta Stores</v>
      </c>
      <c r="D11" t="str">
        <f>IFERROR(VLOOKUP($C11,merchant_master!$C:$D,2,FALSE),"")</f>
        <v>M002</v>
      </c>
      <c r="E11">
        <f>cleaned_data!D11</f>
        <v>610000</v>
      </c>
      <c r="F11" t="str">
        <f>cleaned_data!E11</f>
        <v>INR</v>
      </c>
      <c r="G11" t="str">
        <f t="shared" si="0"/>
        <v>03-03-2026_INR</v>
      </c>
      <c r="H11">
        <f>VLOOKUP($G11, exchange_rates!$D:$E,2,FALSE)</f>
        <v>1.21E-2</v>
      </c>
      <c r="I11" s="6">
        <f t="shared" si="1"/>
        <v>7381</v>
      </c>
      <c r="J11" t="str">
        <f>cleaned_data!F11</f>
        <v>Captured</v>
      </c>
      <c r="K11">
        <f>cleaned_data!G11</f>
        <v>77</v>
      </c>
      <c r="L11" t="str">
        <f>cleaned_data!H11</f>
        <v/>
      </c>
      <c r="M11" t="str">
        <f>IF(cleaned_data!H12&lt;&gt;"",cleaned_data!H12,VLOOKUP($C11,merchant_master!$C:$E,3,FALSE))</f>
        <v>APAC</v>
      </c>
      <c r="N11" t="str">
        <f>cleaned_data!I11</f>
        <v>U003</v>
      </c>
      <c r="O11" t="str">
        <f>cleaned_data!J11</f>
        <v>Card</v>
      </c>
      <c r="P11">
        <f t="shared" si="2"/>
        <v>1</v>
      </c>
      <c r="Q11">
        <f t="shared" si="3"/>
        <v>1</v>
      </c>
    </row>
    <row r="12" spans="1:17" x14ac:dyDescent="0.3">
      <c r="A12" t="str">
        <f>cleaned_data!A12</f>
        <v>T011</v>
      </c>
      <c r="B12" s="1">
        <f>cleaned_data!B12</f>
        <v>46084</v>
      </c>
      <c r="C12" t="str">
        <f>cleaned_data!C12</f>
        <v>Alpha Mart</v>
      </c>
      <c r="D12" t="str">
        <f>IFERROR(VLOOKUP($C12,merchant_master!$C:$D,2,FALSE),"")</f>
        <v>M001</v>
      </c>
      <c r="E12">
        <f>cleaned_data!D12</f>
        <v>195000</v>
      </c>
      <c r="F12" t="str">
        <f>cleaned_data!E12</f>
        <v>INR</v>
      </c>
      <c r="G12" t="str">
        <f t="shared" si="0"/>
        <v>03-03-2026_INR</v>
      </c>
      <c r="H12">
        <f>VLOOKUP($G12, exchange_rates!$D:$E,2,FALSE)</f>
        <v>1.21E-2</v>
      </c>
      <c r="I12" s="6">
        <f t="shared" si="1"/>
        <v>2359.5</v>
      </c>
      <c r="J12" t="str">
        <f>cleaned_data!F12</f>
        <v>Failed E05 Timeout</v>
      </c>
      <c r="K12" t="str">
        <f>cleaned_data!G12</f>
        <v/>
      </c>
      <c r="L12" t="str">
        <f>cleaned_data!H12</f>
        <v/>
      </c>
      <c r="M12" t="str">
        <f>IF(cleaned_data!H13&lt;&gt;"",cleaned_data!H13,VLOOKUP($C12,merchant_master!$C:$E,3,FALSE))</f>
        <v>APAC</v>
      </c>
      <c r="N12" t="str">
        <f>cleaned_data!I12</f>
        <v>U008</v>
      </c>
      <c r="O12" t="str">
        <f>cleaned_data!J12</f>
        <v>UPI</v>
      </c>
      <c r="P12">
        <f t="shared" si="2"/>
        <v>0</v>
      </c>
      <c r="Q12">
        <f t="shared" si="3"/>
        <v>1</v>
      </c>
    </row>
    <row r="13" spans="1:17" x14ac:dyDescent="0.3">
      <c r="A13" t="str">
        <f>cleaned_data!A13</f>
        <v>T012</v>
      </c>
      <c r="B13" s="1">
        <f>cleaned_data!B13</f>
        <v>46085</v>
      </c>
      <c r="C13" t="str">
        <f>cleaned_data!C13</f>
        <v>Beta Stores</v>
      </c>
      <c r="D13" t="str">
        <f>IFERROR(VLOOKUP($C13,merchant_master!$C:$D,2,FALSE),"")</f>
        <v>M002</v>
      </c>
      <c r="E13">
        <f>cleaned_data!D13</f>
        <v>250000</v>
      </c>
      <c r="F13" t="str">
        <f>cleaned_data!E13</f>
        <v>INR</v>
      </c>
      <c r="G13" t="str">
        <f t="shared" si="0"/>
        <v>04-03-2026_INR</v>
      </c>
      <c r="H13">
        <f>VLOOKUP($G13, exchange_rates!$D:$E,2,FALSE)</f>
        <v>1.2E-2</v>
      </c>
      <c r="I13" s="6">
        <f t="shared" si="1"/>
        <v>3000</v>
      </c>
      <c r="J13" t="str">
        <f>cleaned_data!F13</f>
        <v>Captured</v>
      </c>
      <c r="K13">
        <f>cleaned_data!G13</f>
        <v>61</v>
      </c>
      <c r="L13" t="str">
        <f>cleaned_data!H13</f>
        <v>APAC</v>
      </c>
      <c r="M13" t="str">
        <f>IF(cleaned_data!H14&lt;&gt;"",cleaned_data!H14,VLOOKUP($C13,merchant_master!$C:$E,3,FALSE))</f>
        <v>APAC</v>
      </c>
      <c r="N13" t="str">
        <f>cleaned_data!I13</f>
        <v>U009</v>
      </c>
      <c r="O13" t="str">
        <f>cleaned_data!J13</f>
        <v>Card</v>
      </c>
      <c r="P13">
        <f t="shared" si="2"/>
        <v>0</v>
      </c>
      <c r="Q13">
        <f t="shared" si="3"/>
        <v>0</v>
      </c>
    </row>
    <row r="14" spans="1:17" x14ac:dyDescent="0.3">
      <c r="A14" t="str">
        <f>cleaned_data!A14</f>
        <v>T013</v>
      </c>
      <c r="B14" s="1">
        <f>cleaned_data!B14</f>
        <v>46085</v>
      </c>
      <c r="C14" t="str">
        <f>cleaned_data!C14</f>
        <v>Alpha Mart</v>
      </c>
      <c r="D14" t="str">
        <f>IFERROR(VLOOKUP($C14,merchant_master!$C:$D,2,FALSE),"")</f>
        <v>M001</v>
      </c>
      <c r="E14">
        <f>cleaned_data!D14</f>
        <v>310000</v>
      </c>
      <c r="F14" t="str">
        <f>cleaned_data!E14</f>
        <v>INR</v>
      </c>
      <c r="G14" t="str">
        <f t="shared" si="0"/>
        <v>04-03-2026_INR</v>
      </c>
      <c r="H14">
        <f>VLOOKUP($G14, exchange_rates!$D:$E,2,FALSE)</f>
        <v>1.2E-2</v>
      </c>
      <c r="I14" s="6">
        <f t="shared" si="1"/>
        <v>3720</v>
      </c>
      <c r="J14" t="str">
        <f>cleaned_data!F14</f>
        <v>Captured</v>
      </c>
      <c r="K14">
        <f>cleaned_data!G14</f>
        <v>54</v>
      </c>
      <c r="L14" t="str">
        <f>cleaned_data!H14</f>
        <v>APAC</v>
      </c>
      <c r="M14" t="str">
        <f>IF(cleaned_data!H15&lt;&gt;"",cleaned_data!H15,VLOOKUP($C14,merchant_master!$C:$E,3,FALSE))</f>
        <v>APAC</v>
      </c>
      <c r="N14" t="str">
        <f>cleaned_data!I14</f>
        <v>U010</v>
      </c>
      <c r="O14" t="str">
        <f>cleaned_data!J14</f>
        <v>UPI</v>
      </c>
      <c r="P14">
        <f t="shared" si="2"/>
        <v>0</v>
      </c>
      <c r="Q14">
        <f t="shared" si="3"/>
        <v>0</v>
      </c>
    </row>
    <row r="15" spans="1:17" x14ac:dyDescent="0.3">
      <c r="A15" t="str">
        <f>cleaned_data!A15</f>
        <v>T014</v>
      </c>
      <c r="B15" s="1">
        <f>cleaned_data!B15</f>
        <v>46085</v>
      </c>
      <c r="C15" t="str">
        <f>cleaned_data!C15</f>
        <v>Beta Stores</v>
      </c>
      <c r="D15" t="str">
        <f>IFERROR(VLOOKUP($C15,merchant_master!$C:$D,2,FALSE),"")</f>
        <v>M002</v>
      </c>
      <c r="E15">
        <f>cleaned_data!D15</f>
        <v>470000</v>
      </c>
      <c r="F15" t="str">
        <f>cleaned_data!E15</f>
        <v>INR</v>
      </c>
      <c r="G15" t="str">
        <f t="shared" si="0"/>
        <v>04-03-2026_INR</v>
      </c>
      <c r="H15">
        <f>VLOOKUP($G15, exchange_rates!$D:$E,2,FALSE)</f>
        <v>1.2E-2</v>
      </c>
      <c r="I15" s="6">
        <f t="shared" si="1"/>
        <v>5640</v>
      </c>
      <c r="J15" t="str">
        <f>cleaned_data!F15</f>
        <v>Captured</v>
      </c>
      <c r="K15">
        <f>cleaned_data!G15</f>
        <v>73</v>
      </c>
      <c r="L15" t="str">
        <f>cleaned_data!H15</f>
        <v>APAC</v>
      </c>
      <c r="M15" t="str">
        <f>IF(cleaned_data!H16&lt;&gt;"",cleaned_data!H16,VLOOKUP($C15,merchant_master!$C:$E,3,FALSE))</f>
        <v>APAC</v>
      </c>
      <c r="N15" t="str">
        <f>cleaned_data!I15</f>
        <v>U001</v>
      </c>
      <c r="O15" t="str">
        <f>cleaned_data!J15</f>
        <v>NetBanking</v>
      </c>
      <c r="P15">
        <f t="shared" si="2"/>
        <v>1</v>
      </c>
      <c r="Q15">
        <f t="shared" si="3"/>
        <v>1</v>
      </c>
    </row>
    <row r="16" spans="1:17" x14ac:dyDescent="0.3">
      <c r="A16" t="str">
        <f>cleaned_data!A16</f>
        <v>T015</v>
      </c>
      <c r="B16" s="1">
        <f>cleaned_data!B16</f>
        <v>46085</v>
      </c>
      <c r="C16" t="str">
        <f>cleaned_data!C16</f>
        <v>Alpha Mart</v>
      </c>
      <c r="D16" t="str">
        <f>IFERROR(VLOOKUP($C16,merchant_master!$C:$D,2,FALSE),"")</f>
        <v>M001</v>
      </c>
      <c r="E16">
        <f>cleaned_data!D16</f>
        <v>130000</v>
      </c>
      <c r="F16" t="str">
        <f>cleaned_data!E16</f>
        <v>INR</v>
      </c>
      <c r="G16" t="str">
        <f t="shared" si="0"/>
        <v>04-03-2026_INR</v>
      </c>
      <c r="H16">
        <f>VLOOKUP($G16, exchange_rates!$D:$E,2,FALSE)</f>
        <v>1.2E-2</v>
      </c>
      <c r="I16" s="6">
        <f t="shared" si="1"/>
        <v>1560</v>
      </c>
      <c r="J16" t="str">
        <f>cleaned_data!F16</f>
        <v>Captured</v>
      </c>
      <c r="K16">
        <f>cleaned_data!G16</f>
        <v>52</v>
      </c>
      <c r="L16" t="str">
        <f>cleaned_data!H16</f>
        <v/>
      </c>
      <c r="M16" t="str">
        <f>IF(cleaned_data!H17&lt;&gt;"",cleaned_data!H17,VLOOKUP($C16,merchant_master!$C:$E,3,FALSE))</f>
        <v>APAC</v>
      </c>
      <c r="N16" t="str">
        <f>cleaned_data!I16</f>
        <v>U002</v>
      </c>
      <c r="O16" t="str">
        <f>cleaned_data!J16</f>
        <v>Card</v>
      </c>
      <c r="P16">
        <f t="shared" si="2"/>
        <v>0</v>
      </c>
      <c r="Q16">
        <f t="shared" si="3"/>
        <v>0</v>
      </c>
    </row>
    <row r="17" spans="1:17" x14ac:dyDescent="0.3">
      <c r="A17" t="str">
        <f>cleaned_data!A17</f>
        <v>T016</v>
      </c>
      <c r="B17" s="1">
        <f>cleaned_data!B17</f>
        <v>46086</v>
      </c>
      <c r="C17" t="str">
        <f>cleaned_data!C17</f>
        <v>Beta Stores</v>
      </c>
      <c r="D17" t="str">
        <f>IFERROR(VLOOKUP($C17,merchant_master!$C:$D,2,FALSE),"")</f>
        <v>M002</v>
      </c>
      <c r="E17">
        <f>cleaned_data!D17</f>
        <v>220000</v>
      </c>
      <c r="F17" t="str">
        <f>cleaned_data!E17</f>
        <v>INR</v>
      </c>
      <c r="G17" t="str">
        <f t="shared" si="0"/>
        <v>05-03-2026_INR</v>
      </c>
      <c r="H17">
        <f>VLOOKUP($G17, exchange_rates!$D:$E,2,FALSE)</f>
        <v>1.18E-2</v>
      </c>
      <c r="I17" s="6">
        <f t="shared" si="1"/>
        <v>2596</v>
      </c>
      <c r="J17" t="str">
        <f>cleaned_data!F17</f>
        <v>Failed E05 Timeout</v>
      </c>
      <c r="K17">
        <f>cleaned_data!G17</f>
        <v>69</v>
      </c>
      <c r="L17" t="str">
        <f>cleaned_data!H17</f>
        <v/>
      </c>
      <c r="M17" t="str">
        <f>IF(cleaned_data!H18&lt;&gt;"",cleaned_data!H18,VLOOKUP($C17,merchant_master!$C:$E,3,FALSE))</f>
        <v>APAC</v>
      </c>
      <c r="N17" t="str">
        <f>cleaned_data!I17</f>
        <v>U008</v>
      </c>
      <c r="O17" t="str">
        <f>cleaned_data!J17</f>
        <v>Card</v>
      </c>
      <c r="P17">
        <f t="shared" si="2"/>
        <v>0</v>
      </c>
      <c r="Q17">
        <f t="shared" si="3"/>
        <v>0</v>
      </c>
    </row>
    <row r="18" spans="1:17" x14ac:dyDescent="0.3">
      <c r="A18" t="str">
        <f>cleaned_data!A18</f>
        <v>T017</v>
      </c>
      <c r="B18" s="1">
        <f>cleaned_data!B18</f>
        <v>46086</v>
      </c>
      <c r="C18" t="str">
        <f>cleaned_data!C18</f>
        <v>Beta Stores</v>
      </c>
      <c r="D18" t="str">
        <f>IFERROR(VLOOKUP($C18,merchant_master!$C:$D,2,FALSE),"")</f>
        <v>M002</v>
      </c>
      <c r="E18">
        <f>cleaned_data!D18</f>
        <v>180000</v>
      </c>
      <c r="F18" t="str">
        <f>cleaned_data!E18</f>
        <v>INR</v>
      </c>
      <c r="G18" t="str">
        <f t="shared" si="0"/>
        <v>05-03-2026_INR</v>
      </c>
      <c r="H18">
        <f>VLOOKUP($G18, exchange_rates!$D:$E,2,FALSE)</f>
        <v>1.18E-2</v>
      </c>
      <c r="I18" s="6">
        <f t="shared" si="1"/>
        <v>2124</v>
      </c>
      <c r="J18" t="str">
        <f>cleaned_data!F18</f>
        <v>Failed E05 Timeout</v>
      </c>
      <c r="K18">
        <f>cleaned_data!G18</f>
        <v>72</v>
      </c>
      <c r="L18" t="str">
        <f>cleaned_data!H18</f>
        <v>APAC</v>
      </c>
      <c r="M18" t="str">
        <f>IF(cleaned_data!H19&lt;&gt;"",cleaned_data!H19,VLOOKUP($C18,merchant_master!$C:$E,3,FALSE))</f>
        <v>APAC</v>
      </c>
      <c r="N18" t="str">
        <f>cleaned_data!I18</f>
        <v>U008</v>
      </c>
      <c r="O18" t="str">
        <f>cleaned_data!J18</f>
        <v>Card</v>
      </c>
      <c r="P18">
        <f t="shared" si="2"/>
        <v>0</v>
      </c>
      <c r="Q18">
        <f t="shared" si="3"/>
        <v>1</v>
      </c>
    </row>
    <row r="19" spans="1:17" x14ac:dyDescent="0.3">
      <c r="A19" t="str">
        <f>cleaned_data!A19</f>
        <v>T018</v>
      </c>
      <c r="B19" s="1">
        <f>cleaned_data!B19</f>
        <v>46086</v>
      </c>
      <c r="C19" t="str">
        <f>cleaned_data!C19</f>
        <v>Beta Stores</v>
      </c>
      <c r="D19" t="str">
        <f>IFERROR(VLOOKUP($C19,merchant_master!$C:$D,2,FALSE),"")</f>
        <v>M002</v>
      </c>
      <c r="E19">
        <f>cleaned_data!D19</f>
        <v>145000</v>
      </c>
      <c r="F19" t="str">
        <f>cleaned_data!E19</f>
        <v>INR</v>
      </c>
      <c r="G19" t="str">
        <f t="shared" si="0"/>
        <v>05-03-2026_INR</v>
      </c>
      <c r="H19">
        <f>VLOOKUP($G19, exchange_rates!$D:$E,2,FALSE)</f>
        <v>1.18E-2</v>
      </c>
      <c r="I19" s="6">
        <f t="shared" si="1"/>
        <v>1711</v>
      </c>
      <c r="J19" t="str">
        <f>cleaned_data!F19</f>
        <v>Chargeback</v>
      </c>
      <c r="K19">
        <f>cleaned_data!G19</f>
        <v>86</v>
      </c>
      <c r="L19" t="str">
        <f>cleaned_data!H19</f>
        <v>APAC</v>
      </c>
      <c r="M19" t="str">
        <f>IF(cleaned_data!H20&lt;&gt;"",cleaned_data!H20,VLOOKUP($C19,merchant_master!$C:$E,3,FALSE))</f>
        <v>APAC</v>
      </c>
      <c r="N19" t="str">
        <f>cleaned_data!I19</f>
        <v>U008</v>
      </c>
      <c r="O19" t="str">
        <f>cleaned_data!J19</f>
        <v>UPI</v>
      </c>
      <c r="P19">
        <f t="shared" si="2"/>
        <v>0</v>
      </c>
      <c r="Q19">
        <f t="shared" si="3"/>
        <v>1</v>
      </c>
    </row>
    <row r="20" spans="1:17" x14ac:dyDescent="0.3">
      <c r="A20" t="str">
        <f>cleaned_data!A20</f>
        <v>T019</v>
      </c>
      <c r="B20" s="1">
        <f>cleaned_data!B20</f>
        <v>46086</v>
      </c>
      <c r="C20" t="str">
        <f>cleaned_data!C20</f>
        <v>Alpha Mart</v>
      </c>
      <c r="D20" t="str">
        <f>IFERROR(VLOOKUP($C20,merchant_master!$C:$D,2,FALSE),"")</f>
        <v>M001</v>
      </c>
      <c r="E20">
        <f>cleaned_data!D20</f>
        <v>260000</v>
      </c>
      <c r="F20" t="str">
        <f>cleaned_data!E20</f>
        <v>INR</v>
      </c>
      <c r="G20" t="str">
        <f t="shared" si="0"/>
        <v>05-03-2026_INR</v>
      </c>
      <c r="H20">
        <f>VLOOKUP($G20, exchange_rates!$D:$E,2,FALSE)</f>
        <v>1.18E-2</v>
      </c>
      <c r="I20" s="6">
        <f t="shared" si="1"/>
        <v>3068</v>
      </c>
      <c r="J20" t="str">
        <f>cleaned_data!F20</f>
        <v>Failed E05 Timeout</v>
      </c>
      <c r="K20">
        <f>cleaned_data!G20</f>
        <v>67</v>
      </c>
      <c r="L20" t="str">
        <f>cleaned_data!H20</f>
        <v>APAC</v>
      </c>
      <c r="M20" t="str">
        <f>IF(cleaned_data!H21&lt;&gt;"",cleaned_data!H21,VLOOKUP($C20,merchant_master!$C:$E,3,FALSE))</f>
        <v>APAC</v>
      </c>
      <c r="N20" t="str">
        <f>cleaned_data!I20</f>
        <v>U008</v>
      </c>
      <c r="O20" t="str">
        <f>cleaned_data!J20</f>
        <v>Wallet</v>
      </c>
      <c r="P20">
        <f t="shared" si="2"/>
        <v>0</v>
      </c>
      <c r="Q20">
        <f t="shared" si="3"/>
        <v>0</v>
      </c>
    </row>
    <row r="21" spans="1:17" x14ac:dyDescent="0.3">
      <c r="A21" t="str">
        <f>cleaned_data!A21</f>
        <v>T020</v>
      </c>
      <c r="B21" s="1">
        <f>cleaned_data!B21</f>
        <v>46086</v>
      </c>
      <c r="C21" t="str">
        <f>cleaned_data!C21</f>
        <v>Alpha Mart</v>
      </c>
      <c r="D21" t="str">
        <f>IFERROR(VLOOKUP($C21,merchant_master!$C:$D,2,FALSE),"")</f>
        <v>M001</v>
      </c>
      <c r="E21">
        <f>cleaned_data!D21</f>
        <v>520000</v>
      </c>
      <c r="F21" t="str">
        <f>cleaned_data!E21</f>
        <v>INR</v>
      </c>
      <c r="G21" t="str">
        <f t="shared" si="0"/>
        <v>05-03-2026_INR</v>
      </c>
      <c r="H21">
        <f>VLOOKUP($G21, exchange_rates!$D:$E,2,FALSE)</f>
        <v>1.18E-2</v>
      </c>
      <c r="I21" s="6">
        <f t="shared" si="1"/>
        <v>6136</v>
      </c>
      <c r="J21" t="str">
        <f>cleaned_data!F21</f>
        <v>Captured</v>
      </c>
      <c r="K21">
        <f>cleaned_data!G21</f>
        <v>75</v>
      </c>
      <c r="L21" t="str">
        <f>cleaned_data!H21</f>
        <v>APAC</v>
      </c>
      <c r="M21" t="str">
        <f>IF(cleaned_data!H22&lt;&gt;"",cleaned_data!H22,VLOOKUP($C21,merchant_master!$C:$E,3,FALSE))</f>
        <v>APAC</v>
      </c>
      <c r="N21" t="str">
        <f>cleaned_data!I21</f>
        <v>U005</v>
      </c>
      <c r="O21" t="str">
        <f>cleaned_data!J21</f>
        <v>UPI</v>
      </c>
      <c r="P21">
        <f t="shared" si="2"/>
        <v>1</v>
      </c>
      <c r="Q21">
        <f t="shared" si="3"/>
        <v>1</v>
      </c>
    </row>
    <row r="22" spans="1:17" x14ac:dyDescent="0.3">
      <c r="A22" t="str">
        <f>cleaned_data!A22</f>
        <v>T021</v>
      </c>
      <c r="B22" s="1">
        <f>cleaned_data!B22</f>
        <v>46087</v>
      </c>
      <c r="C22" t="str">
        <f>cleaned_data!C22</f>
        <v>Beta Stores</v>
      </c>
      <c r="D22" t="str">
        <f>IFERROR(VLOOKUP($C22,merchant_master!$C:$D,2,FALSE),"")</f>
        <v>M002</v>
      </c>
      <c r="E22">
        <f>cleaned_data!D22</f>
        <v>330000</v>
      </c>
      <c r="F22" t="str">
        <f>cleaned_data!E22</f>
        <v>INR</v>
      </c>
      <c r="G22" t="str">
        <f t="shared" si="0"/>
        <v>06-03-2026_INR</v>
      </c>
      <c r="H22">
        <f>VLOOKUP($G22, exchange_rates!$D:$E,2,FALSE)</f>
        <v>1.1900000000000001E-2</v>
      </c>
      <c r="I22" s="6">
        <f t="shared" si="1"/>
        <v>3927</v>
      </c>
      <c r="J22" t="str">
        <f>cleaned_data!F22</f>
        <v>Captured</v>
      </c>
      <c r="K22">
        <f>cleaned_data!G22</f>
        <v>63</v>
      </c>
      <c r="L22" t="str">
        <f>cleaned_data!H22</f>
        <v/>
      </c>
      <c r="M22" t="str">
        <f>IF(cleaned_data!H23&lt;&gt;"",cleaned_data!H23,VLOOKUP($C22,merchant_master!$C:$E,3,FALSE))</f>
        <v>APAC</v>
      </c>
      <c r="N22" t="str">
        <f>cleaned_data!I22</f>
        <v>U006</v>
      </c>
      <c r="O22" t="str">
        <f>cleaned_data!J22</f>
        <v>Card</v>
      </c>
      <c r="P22">
        <f t="shared" si="2"/>
        <v>0</v>
      </c>
      <c r="Q22">
        <f t="shared" si="3"/>
        <v>0</v>
      </c>
    </row>
    <row r="23" spans="1:17" x14ac:dyDescent="0.3">
      <c r="A23" t="str">
        <f>cleaned_data!A23</f>
        <v>T022</v>
      </c>
      <c r="B23" s="1">
        <f>cleaned_data!B23</f>
        <v>46087</v>
      </c>
      <c r="C23" t="str">
        <f>cleaned_data!C23</f>
        <v>Alpha Mart</v>
      </c>
      <c r="D23" t="str">
        <f>IFERROR(VLOOKUP($C23,merchant_master!$C:$D,2,FALSE),"")</f>
        <v>M001</v>
      </c>
      <c r="E23">
        <f>cleaned_data!D23</f>
        <v>410000</v>
      </c>
      <c r="F23" t="str">
        <f>cleaned_data!E23</f>
        <v>INR</v>
      </c>
      <c r="G23" t="str">
        <f t="shared" si="0"/>
        <v>06-03-2026_INR</v>
      </c>
      <c r="H23">
        <f>VLOOKUP($G23, exchange_rates!$D:$E,2,FALSE)</f>
        <v>1.1900000000000001E-2</v>
      </c>
      <c r="I23" s="6">
        <f t="shared" si="1"/>
        <v>4879</v>
      </c>
      <c r="J23" t="str">
        <f>cleaned_data!F23</f>
        <v>Captured</v>
      </c>
      <c r="K23">
        <f>cleaned_data!G23</f>
        <v>60</v>
      </c>
      <c r="L23" t="str">
        <f>cleaned_data!H23</f>
        <v>APAC</v>
      </c>
      <c r="M23" t="str">
        <f>IF(cleaned_data!H24&lt;&gt;"",cleaned_data!H24,VLOOKUP($C23,merchant_master!$C:$E,3,FALSE))</f>
        <v>EU</v>
      </c>
      <c r="N23" t="str">
        <f>cleaned_data!I23</f>
        <v>U007</v>
      </c>
      <c r="O23" t="str">
        <f>cleaned_data!J23</f>
        <v>UPI</v>
      </c>
      <c r="P23">
        <f t="shared" si="2"/>
        <v>0</v>
      </c>
      <c r="Q23">
        <f t="shared" si="3"/>
        <v>0</v>
      </c>
    </row>
    <row r="24" spans="1:17" x14ac:dyDescent="0.3">
      <c r="A24" t="str">
        <f>cleaned_data!A24</f>
        <v>T023</v>
      </c>
      <c r="B24" s="1">
        <f>cleaned_data!B24</f>
        <v>46082</v>
      </c>
      <c r="C24" t="str">
        <f>cleaned_data!C24</f>
        <v>City Pharma</v>
      </c>
      <c r="D24" t="str">
        <f>IFERROR(VLOOKUP($C24,merchant_master!$C:$D,2,FALSE),"")</f>
        <v>M003</v>
      </c>
      <c r="E24">
        <f>cleaned_data!D24</f>
        <v>5200</v>
      </c>
      <c r="F24" t="str">
        <f>cleaned_data!E24</f>
        <v>EUR</v>
      </c>
      <c r="G24" t="str">
        <f t="shared" si="0"/>
        <v>01-03-2026_EUR</v>
      </c>
      <c r="H24">
        <f>VLOOKUP($G24, exchange_rates!$D:$E,2,FALSE)</f>
        <v>1.08</v>
      </c>
      <c r="I24" s="6">
        <f t="shared" si="1"/>
        <v>5616</v>
      </c>
      <c r="J24" t="str">
        <f>cleaned_data!F24</f>
        <v>Captured</v>
      </c>
      <c r="K24">
        <f>cleaned_data!G24</f>
        <v>42</v>
      </c>
      <c r="L24" t="str">
        <f>cleaned_data!H24</f>
        <v>EU</v>
      </c>
      <c r="M24" t="str">
        <f>IF(cleaned_data!H25&lt;&gt;"",cleaned_data!H25,VLOOKUP($C24,merchant_master!$C:$E,3,FALSE))</f>
        <v>EU</v>
      </c>
      <c r="N24" t="str">
        <f>cleaned_data!I24</f>
        <v>U003</v>
      </c>
      <c r="O24" t="str">
        <f>cleaned_data!J24</f>
        <v>Card</v>
      </c>
      <c r="P24">
        <f t="shared" si="2"/>
        <v>0</v>
      </c>
      <c r="Q24">
        <f t="shared" si="3"/>
        <v>0</v>
      </c>
    </row>
    <row r="25" spans="1:17" x14ac:dyDescent="0.3">
      <c r="A25" t="str">
        <f>cleaned_data!A25</f>
        <v>T024</v>
      </c>
      <c r="B25" s="1">
        <f>cleaned_data!B25</f>
        <v>46083</v>
      </c>
      <c r="C25" t="str">
        <f>cleaned_data!C25</f>
        <v>Eco Home</v>
      </c>
      <c r="D25" t="str">
        <f>IFERROR(VLOOKUP($C25,merchant_master!$C:$D,2,FALSE),"")</f>
        <v>M005</v>
      </c>
      <c r="E25">
        <f>cleaned_data!D25</f>
        <v>6100</v>
      </c>
      <c r="F25" t="str">
        <f>cleaned_data!E25</f>
        <v>EUR</v>
      </c>
      <c r="G25" t="str">
        <f t="shared" si="0"/>
        <v>02-03-2026_EUR</v>
      </c>
      <c r="H25">
        <f>VLOOKUP($G25, exchange_rates!$D:$E,2,FALSE)</f>
        <v>1.0900000000000001</v>
      </c>
      <c r="I25" s="6">
        <f t="shared" si="1"/>
        <v>6649</v>
      </c>
      <c r="J25" t="str">
        <f>cleaned_data!F25</f>
        <v>Chargeback</v>
      </c>
      <c r="K25">
        <f>cleaned_data!G25</f>
        <v>65</v>
      </c>
      <c r="L25" t="str">
        <f>cleaned_data!H25</f>
        <v>EU</v>
      </c>
      <c r="M25" t="str">
        <f>IF(cleaned_data!H26&lt;&gt;"",cleaned_data!H26,VLOOKUP($C25,merchant_master!$C:$E,3,FALSE))</f>
        <v>EU</v>
      </c>
      <c r="N25" t="str">
        <f>cleaned_data!I25</f>
        <v>U004</v>
      </c>
      <c r="O25" t="str">
        <f>cleaned_data!J25</f>
        <v>Card</v>
      </c>
      <c r="P25">
        <f t="shared" si="2"/>
        <v>1</v>
      </c>
      <c r="Q25">
        <f t="shared" si="3"/>
        <v>1</v>
      </c>
    </row>
    <row r="26" spans="1:17" x14ac:dyDescent="0.3">
      <c r="A26" t="str">
        <f>cleaned_data!A26</f>
        <v>T025</v>
      </c>
      <c r="B26" s="1">
        <f>cleaned_data!B26</f>
        <v>46084</v>
      </c>
      <c r="C26" t="str">
        <f>cleaned_data!C26</f>
        <v>City Pharma</v>
      </c>
      <c r="D26" t="str">
        <f>IFERROR(VLOOKUP($C26,merchant_master!$C:$D,2,FALSE),"")</f>
        <v>M003</v>
      </c>
      <c r="E26">
        <f>cleaned_data!D26</f>
        <v>2800</v>
      </c>
      <c r="F26" t="str">
        <f>cleaned_data!E26</f>
        <v>EUR</v>
      </c>
      <c r="G26" t="str">
        <f t="shared" si="0"/>
        <v>03-03-2026_EUR</v>
      </c>
      <c r="H26">
        <f>VLOOKUP($G26, exchange_rates!$D:$E,2,FALSE)</f>
        <v>1.08</v>
      </c>
      <c r="I26" s="6">
        <f t="shared" si="1"/>
        <v>3024</v>
      </c>
      <c r="J26" t="str">
        <f>cleaned_data!F26</f>
        <v>Captured</v>
      </c>
      <c r="K26">
        <f>cleaned_data!G26</f>
        <v>38</v>
      </c>
      <c r="L26" t="str">
        <f>cleaned_data!H26</f>
        <v>EU</v>
      </c>
      <c r="M26" t="str">
        <f>IF(cleaned_data!H27&lt;&gt;"",cleaned_data!H27,VLOOKUP($C26,merchant_master!$C:$E,3,FALSE))</f>
        <v>EU</v>
      </c>
      <c r="N26" t="str">
        <f>cleaned_data!I26</f>
        <v>U005</v>
      </c>
      <c r="O26" t="str">
        <f>cleaned_data!J26</f>
        <v>Wallet</v>
      </c>
      <c r="P26">
        <f t="shared" si="2"/>
        <v>0</v>
      </c>
      <c r="Q26">
        <f t="shared" si="3"/>
        <v>0</v>
      </c>
    </row>
    <row r="27" spans="1:17" x14ac:dyDescent="0.3">
      <c r="A27" t="str">
        <f>cleaned_data!A27</f>
        <v>T026</v>
      </c>
      <c r="B27" s="1">
        <f>cleaned_data!B27</f>
        <v>46086</v>
      </c>
      <c r="C27" t="str">
        <f>cleaned_data!C27</f>
        <v>Eco Home</v>
      </c>
      <c r="D27" t="str">
        <f>IFERROR(VLOOKUP($C27,merchant_master!$C:$D,2,FALSE),"")</f>
        <v>M005</v>
      </c>
      <c r="E27">
        <f>cleaned_data!D27</f>
        <v>3300</v>
      </c>
      <c r="F27" t="str">
        <f>cleaned_data!E27</f>
        <v>EUR</v>
      </c>
      <c r="G27" t="str">
        <f t="shared" si="0"/>
        <v>05-03-2026_EUR</v>
      </c>
      <c r="H27">
        <f>VLOOKUP($G27, exchange_rates!$D:$E,2,FALSE)</f>
        <v>1.0900000000000001</v>
      </c>
      <c r="I27" s="6">
        <f t="shared" si="1"/>
        <v>3597</v>
      </c>
      <c r="J27" t="str">
        <f>cleaned_data!F27</f>
        <v>Failed E05 Timeout</v>
      </c>
      <c r="K27">
        <f>cleaned_data!G27</f>
        <v>44</v>
      </c>
      <c r="L27" t="str">
        <f>cleaned_data!H27</f>
        <v>EU</v>
      </c>
      <c r="M27" t="str">
        <f>IF(cleaned_data!H28&lt;&gt;"",cleaned_data!H28,VLOOKUP($C27,merchant_master!$C:$E,3,FALSE))</f>
        <v>US</v>
      </c>
      <c r="N27" t="str">
        <f>cleaned_data!I27</f>
        <v>U006</v>
      </c>
      <c r="O27" t="str">
        <f>cleaned_data!J27</f>
        <v>NetBanking</v>
      </c>
      <c r="P27">
        <f t="shared" si="2"/>
        <v>0</v>
      </c>
      <c r="Q27">
        <f t="shared" si="3"/>
        <v>0</v>
      </c>
    </row>
    <row r="28" spans="1:17" x14ac:dyDescent="0.3">
      <c r="A28" t="str">
        <f>cleaned_data!A28</f>
        <v>T027</v>
      </c>
      <c r="B28" s="1">
        <f>cleaned_data!B28</f>
        <v>46082</v>
      </c>
      <c r="C28" t="str">
        <f>cleaned_data!C28</f>
        <v>Delta Travels</v>
      </c>
      <c r="D28" t="str">
        <f>IFERROR(VLOOKUP($C28,merchant_master!$C:$D,2,FALSE),"")</f>
        <v>M004</v>
      </c>
      <c r="E28">
        <f>cleaned_data!D28</f>
        <v>7200</v>
      </c>
      <c r="F28" t="str">
        <f>cleaned_data!E28</f>
        <v>USD</v>
      </c>
      <c r="G28" t="str">
        <f t="shared" si="0"/>
        <v>01-03-2026_USD</v>
      </c>
      <c r="H28">
        <f>VLOOKUP($G28, exchange_rates!$D:$E,2,FALSE)</f>
        <v>1</v>
      </c>
      <c r="I28" s="6">
        <f t="shared" si="1"/>
        <v>7200</v>
      </c>
      <c r="J28" t="str">
        <f>cleaned_data!F28</f>
        <v>Captured</v>
      </c>
      <c r="K28">
        <f>cleaned_data!G28</f>
        <v>49</v>
      </c>
      <c r="L28" t="str">
        <f>cleaned_data!H28</f>
        <v>US</v>
      </c>
      <c r="M28" t="str">
        <f>IF(cleaned_data!H29&lt;&gt;"",cleaned_data!H29,VLOOKUP($C28,merchant_master!$C:$E,3,FALSE))</f>
        <v>US</v>
      </c>
      <c r="N28" t="str">
        <f>cleaned_data!I28</f>
        <v>U007</v>
      </c>
      <c r="O28" t="str">
        <f>cleaned_data!J28</f>
        <v>Card</v>
      </c>
      <c r="P28">
        <f t="shared" si="2"/>
        <v>1</v>
      </c>
      <c r="Q28">
        <f t="shared" si="3"/>
        <v>0</v>
      </c>
    </row>
    <row r="29" spans="1:17" x14ac:dyDescent="0.3">
      <c r="A29" t="str">
        <f>cleaned_data!A29</f>
        <v>T028</v>
      </c>
      <c r="B29" s="1">
        <f>cleaned_data!B29</f>
        <v>46083</v>
      </c>
      <c r="C29" t="str">
        <f>cleaned_data!C29</f>
        <v>Delta Travels</v>
      </c>
      <c r="D29" t="str">
        <f>IFERROR(VLOOKUP($C29,merchant_master!$C:$D,2,FALSE),"")</f>
        <v>M004</v>
      </c>
      <c r="E29">
        <f>cleaned_data!D29</f>
        <v>3100</v>
      </c>
      <c r="F29" t="str">
        <f>cleaned_data!E29</f>
        <v>USD</v>
      </c>
      <c r="G29" t="str">
        <f t="shared" si="0"/>
        <v>02-03-2026_USD</v>
      </c>
      <c r="H29">
        <f>VLOOKUP($G29, exchange_rates!$D:$E,2,FALSE)</f>
        <v>1</v>
      </c>
      <c r="I29" s="6">
        <f t="shared" si="1"/>
        <v>3100</v>
      </c>
      <c r="J29" t="str">
        <f>cleaned_data!F29</f>
        <v>Captured</v>
      </c>
      <c r="K29">
        <f>cleaned_data!G29</f>
        <v>41</v>
      </c>
      <c r="L29" t="str">
        <f>cleaned_data!H29</f>
        <v>US</v>
      </c>
      <c r="M29" t="str">
        <f>IF(cleaned_data!H30&lt;&gt;"",cleaned_data!H30,VLOOKUP($C29,merchant_master!$C:$E,3,FALSE))</f>
        <v>US</v>
      </c>
      <c r="N29" t="str">
        <f>cleaned_data!I29</f>
        <v>U008</v>
      </c>
      <c r="O29" t="str">
        <f>cleaned_data!J29</f>
        <v>Card</v>
      </c>
      <c r="P29">
        <f t="shared" si="2"/>
        <v>0</v>
      </c>
      <c r="Q29">
        <f t="shared" si="3"/>
        <v>0</v>
      </c>
    </row>
    <row r="30" spans="1:17" x14ac:dyDescent="0.3">
      <c r="A30" t="str">
        <f>cleaned_data!A30</f>
        <v>T029</v>
      </c>
      <c r="B30" s="1">
        <f>cleaned_data!B30</f>
        <v>46085</v>
      </c>
      <c r="C30" t="str">
        <f>cleaned_data!C30</f>
        <v>Delta Travels</v>
      </c>
      <c r="D30" t="str">
        <f>IFERROR(VLOOKUP($C30,merchant_master!$C:$D,2,FALSE),"")</f>
        <v>M004</v>
      </c>
      <c r="E30">
        <f>cleaned_data!D30</f>
        <v>2500</v>
      </c>
      <c r="F30" t="str">
        <f>cleaned_data!E30</f>
        <v>USD</v>
      </c>
      <c r="G30" t="str">
        <f t="shared" si="0"/>
        <v>04-03-2026_USD</v>
      </c>
      <c r="H30">
        <f>VLOOKUP($G30, exchange_rates!$D:$E,2,FALSE)</f>
        <v>1</v>
      </c>
      <c r="I30" s="6">
        <f t="shared" si="1"/>
        <v>2500</v>
      </c>
      <c r="J30" t="str">
        <f>cleaned_data!F30</f>
        <v>Chargeback</v>
      </c>
      <c r="K30">
        <f>cleaned_data!G30</f>
        <v>58</v>
      </c>
      <c r="L30" t="str">
        <f>cleaned_data!H30</f>
        <v>US</v>
      </c>
      <c r="M30" t="str">
        <f>IF(cleaned_data!H31&lt;&gt;"",cleaned_data!H31,VLOOKUP($C30,merchant_master!$C:$E,3,FALSE))</f>
        <v>US</v>
      </c>
      <c r="N30" t="str">
        <f>cleaned_data!I30</f>
        <v>U009</v>
      </c>
      <c r="O30" t="str">
        <f>cleaned_data!J30</f>
        <v>Wallet</v>
      </c>
      <c r="P30">
        <f t="shared" si="2"/>
        <v>0</v>
      </c>
      <c r="Q30">
        <f t="shared" si="3"/>
        <v>1</v>
      </c>
    </row>
    <row r="31" spans="1:17" x14ac:dyDescent="0.3">
      <c r="A31" t="str">
        <f>cleaned_data!A31</f>
        <v>T030</v>
      </c>
      <c r="B31" s="1">
        <f>cleaned_data!B31</f>
        <v>46087</v>
      </c>
      <c r="C31" t="str">
        <f>cleaned_data!C31</f>
        <v>Delta Travels</v>
      </c>
      <c r="D31" t="str">
        <f>IFERROR(VLOOKUP($C31,merchant_master!$C:$D,2,FALSE),"")</f>
        <v>M004</v>
      </c>
      <c r="E31">
        <f>cleaned_data!D31</f>
        <v>1800</v>
      </c>
      <c r="F31" t="str">
        <f>cleaned_data!E31</f>
        <v>USD</v>
      </c>
      <c r="G31" t="str">
        <f t="shared" si="0"/>
        <v>06-03-2026_USD</v>
      </c>
      <c r="H31">
        <f>VLOOKUP($G31, exchange_rates!$D:$E,2,FALSE)</f>
        <v>1</v>
      </c>
      <c r="I31" s="6">
        <f t="shared" si="1"/>
        <v>1800</v>
      </c>
      <c r="J31" t="str">
        <f>cleaned_data!F31</f>
        <v>Failed E05 Timeout</v>
      </c>
      <c r="K31">
        <f>cleaned_data!G31</f>
        <v>47</v>
      </c>
      <c r="L31" t="str">
        <f>cleaned_data!H31</f>
        <v>US</v>
      </c>
      <c r="M31" t="str">
        <f>IF(cleaned_data!H32&lt;&gt;"",cleaned_data!H32,VLOOKUP($C31,merchant_master!$C:$E,3,FALSE))</f>
        <v>US</v>
      </c>
      <c r="N31" t="str">
        <f>cleaned_data!I31</f>
        <v>U010</v>
      </c>
      <c r="O31" t="str">
        <f>cleaned_data!J31</f>
        <v>UPI</v>
      </c>
      <c r="P31">
        <f t="shared" si="2"/>
        <v>0</v>
      </c>
      <c r="Q31">
        <f t="shared" si="3"/>
        <v>0</v>
      </c>
    </row>
  </sheetData>
  <autoFilter ref="A1:O31" xr:uid="{D84A86FB-5763-48BC-B56A-9683442E21C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44D7-E3EB-4CF9-BAF7-A2417154058B}">
  <dimension ref="A1:H6"/>
  <sheetViews>
    <sheetView topLeftCell="B1" workbookViewId="0">
      <selection activeCell="E17" sqref="E17"/>
    </sheetView>
  </sheetViews>
  <sheetFormatPr defaultRowHeight="14.4" x14ac:dyDescent="0.3"/>
  <cols>
    <col min="1" max="1" width="17" customWidth="1"/>
    <col min="2" max="2" width="19.5546875" customWidth="1"/>
    <col min="3" max="3" width="24.21875" customWidth="1"/>
    <col min="4" max="4" width="19.5546875" customWidth="1"/>
    <col min="5" max="5" width="22.6640625" customWidth="1"/>
    <col min="6" max="6" width="21.21875" customWidth="1"/>
    <col min="7" max="7" width="22.21875" customWidth="1"/>
    <col min="8" max="8" width="18.33203125" customWidth="1"/>
  </cols>
  <sheetData>
    <row r="1" spans="1:8" x14ac:dyDescent="0.3">
      <c r="A1" t="s">
        <v>118</v>
      </c>
      <c r="B1" t="s">
        <v>2</v>
      </c>
      <c r="C1" t="s">
        <v>138</v>
      </c>
      <c r="D1" t="s">
        <v>137</v>
      </c>
      <c r="E1" t="s">
        <v>139</v>
      </c>
      <c r="F1" t="s">
        <v>119</v>
      </c>
      <c r="G1" t="s">
        <v>120</v>
      </c>
      <c r="H1" t="s">
        <v>121</v>
      </c>
    </row>
    <row r="2" spans="1:8" x14ac:dyDescent="0.3">
      <c r="A2" t="s">
        <v>122</v>
      </c>
      <c r="B2" t="s">
        <v>39</v>
      </c>
      <c r="C2" t="str">
        <f>PROPER(TRIM(B2))</f>
        <v>Alpha Mart</v>
      </c>
      <c r="D2" t="str">
        <f t="shared" ref="D2:D6" si="0">$A2</f>
        <v>M001</v>
      </c>
      <c r="E2" t="str">
        <f t="shared" ref="E2:E6" si="1">UPPER(TRIM(H2))</f>
        <v>APAC</v>
      </c>
      <c r="F2" t="s">
        <v>123</v>
      </c>
      <c r="G2" t="s">
        <v>124</v>
      </c>
      <c r="H2" t="s">
        <v>15</v>
      </c>
    </row>
    <row r="3" spans="1:8" x14ac:dyDescent="0.3">
      <c r="A3" t="s">
        <v>125</v>
      </c>
      <c r="B3" t="s">
        <v>56</v>
      </c>
      <c r="C3" t="str">
        <f>PROPER(TRIM(B3))</f>
        <v>Beta Stores</v>
      </c>
      <c r="D3" t="str">
        <f t="shared" si="0"/>
        <v>M002</v>
      </c>
      <c r="E3" t="str">
        <f t="shared" si="1"/>
        <v>APAC</v>
      </c>
      <c r="F3" t="s">
        <v>126</v>
      </c>
      <c r="G3" t="s">
        <v>127</v>
      </c>
      <c r="H3" t="s">
        <v>15</v>
      </c>
    </row>
    <row r="4" spans="1:8" x14ac:dyDescent="0.3">
      <c r="A4" t="s">
        <v>128</v>
      </c>
      <c r="B4" t="s">
        <v>91</v>
      </c>
      <c r="C4" t="str">
        <f>PROPER(TRIM(B4))</f>
        <v>City Pharma</v>
      </c>
      <c r="D4" t="str">
        <f t="shared" si="0"/>
        <v>M003</v>
      </c>
      <c r="E4" t="str">
        <f t="shared" si="1"/>
        <v>EU</v>
      </c>
      <c r="F4" t="s">
        <v>129</v>
      </c>
      <c r="G4" t="s">
        <v>130</v>
      </c>
      <c r="H4" t="s">
        <v>98</v>
      </c>
    </row>
    <row r="5" spans="1:8" x14ac:dyDescent="0.3">
      <c r="A5" t="s">
        <v>131</v>
      </c>
      <c r="B5" t="s">
        <v>110</v>
      </c>
      <c r="C5" t="str">
        <f>PROPER(TRIM(B5))</f>
        <v>Delta Travels</v>
      </c>
      <c r="D5" t="str">
        <f t="shared" si="0"/>
        <v>M004</v>
      </c>
      <c r="E5" t="str">
        <f t="shared" si="1"/>
        <v>US</v>
      </c>
      <c r="F5" t="s">
        <v>132</v>
      </c>
      <c r="G5" t="s">
        <v>133</v>
      </c>
      <c r="H5" t="s">
        <v>112</v>
      </c>
    </row>
    <row r="6" spans="1:8" x14ac:dyDescent="0.3">
      <c r="A6" t="s">
        <v>134</v>
      </c>
      <c r="B6" t="s">
        <v>96</v>
      </c>
      <c r="C6" t="str">
        <f>PROPER(TRIM(B6))</f>
        <v>Eco Home</v>
      </c>
      <c r="D6" t="str">
        <f t="shared" si="0"/>
        <v>M005</v>
      </c>
      <c r="E6" t="str">
        <f t="shared" si="1"/>
        <v>EU</v>
      </c>
      <c r="F6" t="s">
        <v>135</v>
      </c>
      <c r="G6" t="s">
        <v>136</v>
      </c>
      <c r="H6" t="s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9201-B7AE-4A05-963C-A0E4907A7610}">
  <dimension ref="A1:E19"/>
  <sheetViews>
    <sheetView workbookViewId="0">
      <selection activeCell="C20" sqref="C20"/>
    </sheetView>
  </sheetViews>
  <sheetFormatPr defaultRowHeight="14.4" x14ac:dyDescent="0.3"/>
  <cols>
    <col min="1" max="1" width="17.77734375" customWidth="1"/>
    <col min="2" max="2" width="10.5546875" bestFit="1" customWidth="1"/>
    <col min="3" max="3" width="11.6640625" customWidth="1"/>
    <col min="4" max="4" width="23" customWidth="1"/>
    <col min="5" max="5" width="16.21875" customWidth="1"/>
  </cols>
  <sheetData>
    <row r="1" spans="1:5" x14ac:dyDescent="0.3">
      <c r="A1" t="s">
        <v>141</v>
      </c>
      <c r="B1" t="s">
        <v>4</v>
      </c>
      <c r="C1" t="s">
        <v>142</v>
      </c>
      <c r="D1" t="s">
        <v>143</v>
      </c>
      <c r="E1" t="s">
        <v>144</v>
      </c>
    </row>
    <row r="2" spans="1:5" x14ac:dyDescent="0.3">
      <c r="A2" s="1">
        <v>46082</v>
      </c>
      <c r="B2" t="s">
        <v>12</v>
      </c>
      <c r="C2">
        <v>1.1900000000000001E-2</v>
      </c>
      <c r="D2" t="str">
        <f t="shared" ref="D2:D19" si="0">TEXT($A2, "dd-mm-yyyy")&amp;"_"&amp;$B2</f>
        <v>01-03-2026_INR</v>
      </c>
      <c r="E2">
        <f t="shared" ref="E2:E19" si="1">$C2</f>
        <v>1.1900000000000001E-2</v>
      </c>
    </row>
    <row r="3" spans="1:5" x14ac:dyDescent="0.3">
      <c r="A3" s="1">
        <v>46082</v>
      </c>
      <c r="B3" t="s">
        <v>92</v>
      </c>
      <c r="C3">
        <v>1.08</v>
      </c>
      <c r="D3" t="str">
        <f t="shared" si="0"/>
        <v>01-03-2026_EUR</v>
      </c>
      <c r="E3">
        <f t="shared" si="1"/>
        <v>1.08</v>
      </c>
    </row>
    <row r="4" spans="1:5" x14ac:dyDescent="0.3">
      <c r="A4" s="1">
        <v>46082</v>
      </c>
      <c r="B4" t="s">
        <v>106</v>
      </c>
      <c r="C4">
        <v>1</v>
      </c>
      <c r="D4" t="str">
        <f t="shared" si="0"/>
        <v>01-03-2026_USD</v>
      </c>
      <c r="E4">
        <f t="shared" si="1"/>
        <v>1</v>
      </c>
    </row>
    <row r="5" spans="1:5" x14ac:dyDescent="0.3">
      <c r="A5" s="1">
        <v>46083</v>
      </c>
      <c r="B5" t="s">
        <v>12</v>
      </c>
      <c r="C5">
        <v>1.2E-2</v>
      </c>
      <c r="D5" t="str">
        <f t="shared" si="0"/>
        <v>02-03-2026_INR</v>
      </c>
      <c r="E5">
        <f t="shared" si="1"/>
        <v>1.2E-2</v>
      </c>
    </row>
    <row r="6" spans="1:5" x14ac:dyDescent="0.3">
      <c r="A6" s="1">
        <v>46083</v>
      </c>
      <c r="B6" t="s">
        <v>92</v>
      </c>
      <c r="C6">
        <v>1.0900000000000001</v>
      </c>
      <c r="D6" t="str">
        <f t="shared" si="0"/>
        <v>02-03-2026_EUR</v>
      </c>
      <c r="E6">
        <f t="shared" si="1"/>
        <v>1.0900000000000001</v>
      </c>
    </row>
    <row r="7" spans="1:5" x14ac:dyDescent="0.3">
      <c r="A7" s="1">
        <v>46083</v>
      </c>
      <c r="B7" t="s">
        <v>106</v>
      </c>
      <c r="C7">
        <v>1</v>
      </c>
      <c r="D7" t="str">
        <f t="shared" si="0"/>
        <v>02-03-2026_USD</v>
      </c>
      <c r="E7">
        <f t="shared" si="1"/>
        <v>1</v>
      </c>
    </row>
    <row r="8" spans="1:5" x14ac:dyDescent="0.3">
      <c r="A8" s="1">
        <v>46084</v>
      </c>
      <c r="B8" t="s">
        <v>12</v>
      </c>
      <c r="C8">
        <v>1.21E-2</v>
      </c>
      <c r="D8" t="str">
        <f t="shared" si="0"/>
        <v>03-03-2026_INR</v>
      </c>
      <c r="E8">
        <f t="shared" si="1"/>
        <v>1.21E-2</v>
      </c>
    </row>
    <row r="9" spans="1:5" x14ac:dyDescent="0.3">
      <c r="A9" s="1">
        <v>46084</v>
      </c>
      <c r="B9" t="s">
        <v>92</v>
      </c>
      <c r="C9">
        <v>1.08</v>
      </c>
      <c r="D9" t="str">
        <f t="shared" si="0"/>
        <v>03-03-2026_EUR</v>
      </c>
      <c r="E9">
        <f t="shared" si="1"/>
        <v>1.08</v>
      </c>
    </row>
    <row r="10" spans="1:5" x14ac:dyDescent="0.3">
      <c r="A10" s="1">
        <v>46084</v>
      </c>
      <c r="B10" t="s">
        <v>106</v>
      </c>
      <c r="C10">
        <v>1</v>
      </c>
      <c r="D10" t="str">
        <f t="shared" si="0"/>
        <v>03-03-2026_USD</v>
      </c>
      <c r="E10">
        <f t="shared" si="1"/>
        <v>1</v>
      </c>
    </row>
    <row r="11" spans="1:5" x14ac:dyDescent="0.3">
      <c r="A11" s="1">
        <v>46085</v>
      </c>
      <c r="B11" t="s">
        <v>12</v>
      </c>
      <c r="C11">
        <v>1.2E-2</v>
      </c>
      <c r="D11" t="str">
        <f t="shared" si="0"/>
        <v>04-03-2026_INR</v>
      </c>
      <c r="E11">
        <f t="shared" si="1"/>
        <v>1.2E-2</v>
      </c>
    </row>
    <row r="12" spans="1:5" x14ac:dyDescent="0.3">
      <c r="A12" s="1">
        <v>46085</v>
      </c>
      <c r="B12" t="s">
        <v>92</v>
      </c>
      <c r="C12">
        <v>1.07</v>
      </c>
      <c r="D12" t="str">
        <f t="shared" si="0"/>
        <v>04-03-2026_EUR</v>
      </c>
      <c r="E12">
        <f t="shared" si="1"/>
        <v>1.07</v>
      </c>
    </row>
    <row r="13" spans="1:5" x14ac:dyDescent="0.3">
      <c r="A13" s="1">
        <v>46085</v>
      </c>
      <c r="B13" t="s">
        <v>106</v>
      </c>
      <c r="C13">
        <v>1</v>
      </c>
      <c r="D13" t="str">
        <f t="shared" si="0"/>
        <v>04-03-2026_USD</v>
      </c>
      <c r="E13">
        <f t="shared" si="1"/>
        <v>1</v>
      </c>
    </row>
    <row r="14" spans="1:5" x14ac:dyDescent="0.3">
      <c r="A14" s="1">
        <v>46086</v>
      </c>
      <c r="B14" t="s">
        <v>12</v>
      </c>
      <c r="C14">
        <v>1.18E-2</v>
      </c>
      <c r="D14" t="str">
        <f t="shared" si="0"/>
        <v>05-03-2026_INR</v>
      </c>
      <c r="E14">
        <f t="shared" si="1"/>
        <v>1.18E-2</v>
      </c>
    </row>
    <row r="15" spans="1:5" x14ac:dyDescent="0.3">
      <c r="A15" s="1">
        <v>46086</v>
      </c>
      <c r="B15" t="s">
        <v>92</v>
      </c>
      <c r="C15">
        <v>1.0900000000000001</v>
      </c>
      <c r="D15" t="str">
        <f t="shared" si="0"/>
        <v>05-03-2026_EUR</v>
      </c>
      <c r="E15">
        <f t="shared" si="1"/>
        <v>1.0900000000000001</v>
      </c>
    </row>
    <row r="16" spans="1:5" x14ac:dyDescent="0.3">
      <c r="A16" s="1">
        <v>46086</v>
      </c>
      <c r="B16" t="s">
        <v>106</v>
      </c>
      <c r="C16">
        <v>1</v>
      </c>
      <c r="D16" t="str">
        <f t="shared" si="0"/>
        <v>05-03-2026_USD</v>
      </c>
      <c r="E16">
        <f t="shared" si="1"/>
        <v>1</v>
      </c>
    </row>
    <row r="17" spans="1:5" x14ac:dyDescent="0.3">
      <c r="A17" s="1">
        <v>46087</v>
      </c>
      <c r="B17" t="s">
        <v>12</v>
      </c>
      <c r="C17">
        <v>1.1900000000000001E-2</v>
      </c>
      <c r="D17" t="str">
        <f t="shared" si="0"/>
        <v>06-03-2026_INR</v>
      </c>
      <c r="E17">
        <f t="shared" si="1"/>
        <v>1.1900000000000001E-2</v>
      </c>
    </row>
    <row r="18" spans="1:5" x14ac:dyDescent="0.3">
      <c r="A18" s="1">
        <v>46087</v>
      </c>
      <c r="B18" t="s">
        <v>92</v>
      </c>
      <c r="C18">
        <v>1.08</v>
      </c>
      <c r="D18" t="str">
        <f t="shared" si="0"/>
        <v>06-03-2026_EUR</v>
      </c>
      <c r="E18">
        <f t="shared" si="1"/>
        <v>1.08</v>
      </c>
    </row>
    <row r="19" spans="1:5" x14ac:dyDescent="0.3">
      <c r="A19" s="1">
        <v>46087</v>
      </c>
      <c r="B19" t="s">
        <v>106</v>
      </c>
      <c r="C19">
        <v>1</v>
      </c>
      <c r="D19" t="str">
        <f t="shared" si="0"/>
        <v>06-03-2026_USD</v>
      </c>
      <c r="E19">
        <f t="shared" si="1"/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D295-09D8-46A0-B9CF-4E46A70D2647}">
  <dimension ref="A1:O31"/>
  <sheetViews>
    <sheetView workbookViewId="0">
      <selection sqref="A1:O31"/>
    </sheetView>
  </sheetViews>
  <sheetFormatPr defaultRowHeight="14.4" x14ac:dyDescent="0.3"/>
  <cols>
    <col min="1" max="1" width="15.109375" customWidth="1"/>
    <col min="2" max="2" width="17.5546875" customWidth="1"/>
    <col min="3" max="3" width="17.21875" customWidth="1"/>
    <col min="4" max="5" width="13.88671875" customWidth="1"/>
    <col min="6" max="6" width="10.21875" customWidth="1"/>
    <col min="7" max="7" width="18.33203125" bestFit="1" customWidth="1"/>
    <col min="8" max="8" width="13.5546875" customWidth="1"/>
    <col min="9" max="9" width="16.5546875" bestFit="1" customWidth="1"/>
    <col min="10" max="10" width="11.21875" customWidth="1"/>
    <col min="11" max="11" width="19.33203125" bestFit="1" customWidth="1"/>
    <col min="12" max="12" width="9" customWidth="1"/>
    <col min="13" max="13" width="18.109375" customWidth="1"/>
    <col min="14" max="14" width="16.21875" customWidth="1"/>
    <col min="15" max="15" width="14.5546875" customWidth="1"/>
  </cols>
  <sheetData>
    <row r="1" spans="1:15" x14ac:dyDescent="0.3">
      <c r="A1" s="2" t="s">
        <v>0</v>
      </c>
      <c r="B1" s="3" t="s">
        <v>1</v>
      </c>
      <c r="C1" s="3" t="s">
        <v>2</v>
      </c>
      <c r="D1" s="3" t="s">
        <v>118</v>
      </c>
      <c r="E1" s="3" t="s">
        <v>3</v>
      </c>
      <c r="F1" s="3" t="s">
        <v>4</v>
      </c>
      <c r="G1" s="3" t="s">
        <v>142</v>
      </c>
      <c r="H1" s="5" t="s">
        <v>149</v>
      </c>
      <c r="I1" s="3" t="s">
        <v>5</v>
      </c>
      <c r="J1" s="3" t="s">
        <v>6</v>
      </c>
      <c r="K1" s="3" t="s">
        <v>7</v>
      </c>
      <c r="L1" s="3" t="s">
        <v>8</v>
      </c>
      <c r="M1" s="4" t="s">
        <v>9</v>
      </c>
      <c r="N1" s="7" t="s">
        <v>147</v>
      </c>
      <c r="O1" s="7" t="s">
        <v>148</v>
      </c>
    </row>
    <row r="2" spans="1:15" x14ac:dyDescent="0.3">
      <c r="A2" t="s">
        <v>10</v>
      </c>
      <c r="B2" s="1">
        <v>46082</v>
      </c>
      <c r="C2" t="s">
        <v>39</v>
      </c>
      <c r="D2" t="s">
        <v>122</v>
      </c>
      <c r="E2">
        <v>420000</v>
      </c>
      <c r="F2" t="s">
        <v>12</v>
      </c>
      <c r="G2">
        <v>1.1900000000000001E-2</v>
      </c>
      <c r="H2" s="6">
        <v>4998</v>
      </c>
      <c r="I2" t="s">
        <v>150</v>
      </c>
      <c r="J2">
        <v>62</v>
      </c>
      <c r="K2" t="s">
        <v>15</v>
      </c>
      <c r="L2" t="s">
        <v>16</v>
      </c>
      <c r="M2" t="s">
        <v>17</v>
      </c>
      <c r="N2">
        <v>0</v>
      </c>
      <c r="O2">
        <v>0</v>
      </c>
    </row>
    <row r="3" spans="1:15" x14ac:dyDescent="0.3">
      <c r="A3" t="s">
        <v>18</v>
      </c>
      <c r="B3" s="1">
        <v>46082</v>
      </c>
      <c r="C3" t="s">
        <v>39</v>
      </c>
      <c r="D3" t="s">
        <v>122</v>
      </c>
      <c r="E3">
        <v>210000</v>
      </c>
      <c r="F3" t="s">
        <v>12</v>
      </c>
      <c r="G3">
        <v>1.1900000000000001E-2</v>
      </c>
      <c r="H3" s="6">
        <v>2499</v>
      </c>
      <c r="I3" t="s">
        <v>150</v>
      </c>
      <c r="J3">
        <v>55</v>
      </c>
      <c r="K3" t="s">
        <v>15</v>
      </c>
      <c r="L3" t="s">
        <v>23</v>
      </c>
      <c r="M3" t="s">
        <v>24</v>
      </c>
      <c r="N3">
        <v>0</v>
      </c>
      <c r="O3">
        <v>0</v>
      </c>
    </row>
    <row r="4" spans="1:15" x14ac:dyDescent="0.3">
      <c r="A4" t="s">
        <v>25</v>
      </c>
      <c r="B4" s="1">
        <v>46082</v>
      </c>
      <c r="C4" t="s">
        <v>56</v>
      </c>
      <c r="D4" t="s">
        <v>125</v>
      </c>
      <c r="E4">
        <v>510000</v>
      </c>
      <c r="F4" t="s">
        <v>12</v>
      </c>
      <c r="G4">
        <v>1.1900000000000001E-2</v>
      </c>
      <c r="H4" s="6">
        <v>6069</v>
      </c>
      <c r="I4" t="s">
        <v>150</v>
      </c>
      <c r="J4">
        <v>71</v>
      </c>
      <c r="K4" t="s">
        <v>15</v>
      </c>
      <c r="L4" t="s">
        <v>30</v>
      </c>
      <c r="M4" t="s">
        <v>31</v>
      </c>
      <c r="N4">
        <v>1</v>
      </c>
      <c r="O4">
        <v>1</v>
      </c>
    </row>
    <row r="5" spans="1:15" x14ac:dyDescent="0.3">
      <c r="A5" t="s">
        <v>32</v>
      </c>
      <c r="B5" s="1">
        <v>46083</v>
      </c>
      <c r="C5" t="s">
        <v>56</v>
      </c>
      <c r="D5" t="s">
        <v>125</v>
      </c>
      <c r="E5">
        <v>160000</v>
      </c>
      <c r="F5" t="s">
        <v>12</v>
      </c>
      <c r="G5">
        <v>1.2E-2</v>
      </c>
      <c r="H5" s="6">
        <v>1920</v>
      </c>
      <c r="I5" t="s">
        <v>76</v>
      </c>
      <c r="J5">
        <v>68</v>
      </c>
      <c r="K5" t="s">
        <v>15</v>
      </c>
      <c r="L5" t="s">
        <v>37</v>
      </c>
      <c r="M5" t="s">
        <v>24</v>
      </c>
      <c r="N5">
        <v>0</v>
      </c>
      <c r="O5">
        <v>0</v>
      </c>
    </row>
    <row r="6" spans="1:15" x14ac:dyDescent="0.3">
      <c r="A6" t="s">
        <v>38</v>
      </c>
      <c r="B6" s="1">
        <v>46083</v>
      </c>
      <c r="C6" t="s">
        <v>39</v>
      </c>
      <c r="D6" t="s">
        <v>122</v>
      </c>
      <c r="E6">
        <v>390000</v>
      </c>
      <c r="F6" t="s">
        <v>12</v>
      </c>
      <c r="G6">
        <v>1.2E-2</v>
      </c>
      <c r="H6" s="6">
        <v>4680</v>
      </c>
      <c r="I6" t="s">
        <v>150</v>
      </c>
      <c r="J6">
        <v>58</v>
      </c>
      <c r="K6" t="s">
        <v>15</v>
      </c>
      <c r="L6" t="s">
        <v>16</v>
      </c>
      <c r="M6" t="s">
        <v>17</v>
      </c>
      <c r="N6">
        <v>0</v>
      </c>
      <c r="O6">
        <v>0</v>
      </c>
    </row>
    <row r="7" spans="1:15" x14ac:dyDescent="0.3">
      <c r="A7" t="s">
        <v>41</v>
      </c>
      <c r="B7" s="1">
        <v>46083</v>
      </c>
      <c r="C7" t="s">
        <v>56</v>
      </c>
      <c r="D7" t="s">
        <v>125</v>
      </c>
      <c r="E7">
        <v>275000</v>
      </c>
      <c r="F7" t="s">
        <v>12</v>
      </c>
      <c r="G7">
        <v>1.2E-2</v>
      </c>
      <c r="H7" s="6">
        <v>3300</v>
      </c>
      <c r="I7" t="s">
        <v>150</v>
      </c>
      <c r="J7">
        <v>64</v>
      </c>
      <c r="K7" t="s">
        <v>15</v>
      </c>
      <c r="L7" t="s">
        <v>43</v>
      </c>
      <c r="M7" t="s">
        <v>44</v>
      </c>
      <c r="N7">
        <v>0</v>
      </c>
      <c r="O7">
        <v>0</v>
      </c>
    </row>
    <row r="8" spans="1:15" x14ac:dyDescent="0.3">
      <c r="A8" t="s">
        <v>45</v>
      </c>
      <c r="B8" s="1">
        <v>46083</v>
      </c>
      <c r="C8" t="s">
        <v>39</v>
      </c>
      <c r="D8" t="s">
        <v>122</v>
      </c>
      <c r="E8">
        <v>450000</v>
      </c>
      <c r="F8" t="s">
        <v>12</v>
      </c>
      <c r="G8">
        <v>1.2E-2</v>
      </c>
      <c r="H8" s="6">
        <v>5400</v>
      </c>
      <c r="I8" t="s">
        <v>151</v>
      </c>
      <c r="J8">
        <v>83</v>
      </c>
      <c r="K8" t="s">
        <v>15</v>
      </c>
      <c r="L8" t="s">
        <v>49</v>
      </c>
      <c r="M8" t="s">
        <v>24</v>
      </c>
      <c r="N8">
        <v>1</v>
      </c>
      <c r="O8">
        <v>1</v>
      </c>
    </row>
    <row r="9" spans="1:15" x14ac:dyDescent="0.3">
      <c r="A9" t="s">
        <v>50</v>
      </c>
      <c r="B9" s="1">
        <v>46084</v>
      </c>
      <c r="C9" t="s">
        <v>56</v>
      </c>
      <c r="D9" t="s">
        <v>125</v>
      </c>
      <c r="E9">
        <v>340000</v>
      </c>
      <c r="F9" t="s">
        <v>12</v>
      </c>
      <c r="G9">
        <v>1.21E-2</v>
      </c>
      <c r="H9" s="6">
        <v>4114</v>
      </c>
      <c r="I9" t="s">
        <v>150</v>
      </c>
      <c r="J9">
        <v>59</v>
      </c>
      <c r="K9" t="s">
        <v>15</v>
      </c>
      <c r="L9" t="s">
        <v>52</v>
      </c>
      <c r="M9" t="s">
        <v>17</v>
      </c>
      <c r="N9">
        <v>0</v>
      </c>
      <c r="O9">
        <v>0</v>
      </c>
    </row>
    <row r="10" spans="1:15" x14ac:dyDescent="0.3">
      <c r="A10" t="s">
        <v>53</v>
      </c>
      <c r="B10" s="1">
        <v>46084</v>
      </c>
      <c r="C10" t="s">
        <v>39</v>
      </c>
      <c r="D10" t="s">
        <v>122</v>
      </c>
      <c r="E10">
        <v>125000</v>
      </c>
      <c r="F10" t="s">
        <v>12</v>
      </c>
      <c r="G10">
        <v>1.21E-2</v>
      </c>
      <c r="H10" s="6">
        <v>1512.5</v>
      </c>
      <c r="I10" t="s">
        <v>150</v>
      </c>
      <c r="J10">
        <v>46</v>
      </c>
      <c r="K10" t="s">
        <v>15</v>
      </c>
      <c r="L10" t="s">
        <v>23</v>
      </c>
      <c r="M10" t="s">
        <v>44</v>
      </c>
      <c r="N10">
        <v>0</v>
      </c>
      <c r="O10">
        <v>0</v>
      </c>
    </row>
    <row r="11" spans="1:15" x14ac:dyDescent="0.3">
      <c r="A11" t="s">
        <v>55</v>
      </c>
      <c r="B11" s="1">
        <v>46084</v>
      </c>
      <c r="C11" t="s">
        <v>56</v>
      </c>
      <c r="D11" t="s">
        <v>125</v>
      </c>
      <c r="E11">
        <v>610000</v>
      </c>
      <c r="F11" t="s">
        <v>12</v>
      </c>
      <c r="G11">
        <v>1.21E-2</v>
      </c>
      <c r="H11" s="6">
        <v>7381</v>
      </c>
      <c r="I11" t="s">
        <v>150</v>
      </c>
      <c r="J11">
        <v>77</v>
      </c>
      <c r="K11" t="s">
        <v>15</v>
      </c>
      <c r="L11" t="s">
        <v>30</v>
      </c>
      <c r="M11" t="s">
        <v>24</v>
      </c>
      <c r="N11">
        <v>1</v>
      </c>
      <c r="O11">
        <v>1</v>
      </c>
    </row>
    <row r="12" spans="1:15" x14ac:dyDescent="0.3">
      <c r="A12" t="s">
        <v>58</v>
      </c>
      <c r="B12" s="1">
        <v>46084</v>
      </c>
      <c r="C12" t="s">
        <v>39</v>
      </c>
      <c r="D12" t="s">
        <v>122</v>
      </c>
      <c r="E12">
        <v>195000</v>
      </c>
      <c r="F12" t="s">
        <v>12</v>
      </c>
      <c r="G12">
        <v>1.21E-2</v>
      </c>
      <c r="H12" s="6">
        <v>2359.5</v>
      </c>
      <c r="I12" t="s">
        <v>76</v>
      </c>
      <c r="J12" t="s">
        <v>22</v>
      </c>
      <c r="K12" t="s">
        <v>15</v>
      </c>
      <c r="L12" t="s">
        <v>60</v>
      </c>
      <c r="M12" t="s">
        <v>17</v>
      </c>
      <c r="N12">
        <v>0</v>
      </c>
      <c r="O12">
        <v>1</v>
      </c>
    </row>
    <row r="13" spans="1:15" x14ac:dyDescent="0.3">
      <c r="A13" t="s">
        <v>61</v>
      </c>
      <c r="B13" s="1">
        <v>46085</v>
      </c>
      <c r="C13" t="s">
        <v>56</v>
      </c>
      <c r="D13" t="s">
        <v>125</v>
      </c>
      <c r="E13">
        <v>250000</v>
      </c>
      <c r="F13" t="s">
        <v>12</v>
      </c>
      <c r="G13">
        <v>1.2E-2</v>
      </c>
      <c r="H13" s="6">
        <v>3000</v>
      </c>
      <c r="I13" t="s">
        <v>150</v>
      </c>
      <c r="J13">
        <v>61</v>
      </c>
      <c r="K13" t="s">
        <v>15</v>
      </c>
      <c r="L13" t="s">
        <v>64</v>
      </c>
      <c r="M13" t="s">
        <v>24</v>
      </c>
      <c r="N13">
        <v>0</v>
      </c>
      <c r="O13">
        <v>0</v>
      </c>
    </row>
    <row r="14" spans="1:15" x14ac:dyDescent="0.3">
      <c r="A14" t="s">
        <v>65</v>
      </c>
      <c r="B14" s="1">
        <v>46085</v>
      </c>
      <c r="C14" t="s">
        <v>39</v>
      </c>
      <c r="D14" t="s">
        <v>122</v>
      </c>
      <c r="E14">
        <v>310000</v>
      </c>
      <c r="F14" t="s">
        <v>12</v>
      </c>
      <c r="G14">
        <v>1.2E-2</v>
      </c>
      <c r="H14" s="6">
        <v>3720</v>
      </c>
      <c r="I14" t="s">
        <v>150</v>
      </c>
      <c r="J14">
        <v>54</v>
      </c>
      <c r="K14" t="s">
        <v>15</v>
      </c>
      <c r="L14" t="s">
        <v>67</v>
      </c>
      <c r="M14" t="s">
        <v>17</v>
      </c>
      <c r="N14">
        <v>0</v>
      </c>
      <c r="O14">
        <v>0</v>
      </c>
    </row>
    <row r="15" spans="1:15" x14ac:dyDescent="0.3">
      <c r="A15" t="s">
        <v>68</v>
      </c>
      <c r="B15" s="1">
        <v>46085</v>
      </c>
      <c r="C15" t="s">
        <v>56</v>
      </c>
      <c r="D15" t="s">
        <v>125</v>
      </c>
      <c r="E15">
        <v>470000</v>
      </c>
      <c r="F15" t="s">
        <v>12</v>
      </c>
      <c r="G15">
        <v>1.2E-2</v>
      </c>
      <c r="H15" s="6">
        <v>5640</v>
      </c>
      <c r="I15" t="s">
        <v>150</v>
      </c>
      <c r="J15">
        <v>73</v>
      </c>
      <c r="K15" t="s">
        <v>15</v>
      </c>
      <c r="L15" t="s">
        <v>16</v>
      </c>
      <c r="M15" t="s">
        <v>31</v>
      </c>
      <c r="N15">
        <v>1</v>
      </c>
      <c r="O15">
        <v>1</v>
      </c>
    </row>
    <row r="16" spans="1:15" x14ac:dyDescent="0.3">
      <c r="A16" t="s">
        <v>70</v>
      </c>
      <c r="B16" s="1">
        <v>46085</v>
      </c>
      <c r="C16" t="s">
        <v>39</v>
      </c>
      <c r="D16" t="s">
        <v>122</v>
      </c>
      <c r="E16">
        <v>130000</v>
      </c>
      <c r="F16" t="s">
        <v>12</v>
      </c>
      <c r="G16">
        <v>1.2E-2</v>
      </c>
      <c r="H16" s="6">
        <v>1560</v>
      </c>
      <c r="I16" t="s">
        <v>150</v>
      </c>
      <c r="J16">
        <v>52</v>
      </c>
      <c r="K16" t="s">
        <v>15</v>
      </c>
      <c r="L16" t="s">
        <v>23</v>
      </c>
      <c r="M16" t="s">
        <v>24</v>
      </c>
      <c r="N16">
        <v>0</v>
      </c>
      <c r="O16">
        <v>0</v>
      </c>
    </row>
    <row r="17" spans="1:15" x14ac:dyDescent="0.3">
      <c r="A17" t="s">
        <v>72</v>
      </c>
      <c r="B17" s="1">
        <v>46086</v>
      </c>
      <c r="C17" t="s">
        <v>56</v>
      </c>
      <c r="D17" t="s">
        <v>125</v>
      </c>
      <c r="E17">
        <v>220000</v>
      </c>
      <c r="F17" t="s">
        <v>12</v>
      </c>
      <c r="G17">
        <v>1.18E-2</v>
      </c>
      <c r="H17" s="6">
        <v>2596</v>
      </c>
      <c r="I17" t="s">
        <v>76</v>
      </c>
      <c r="J17">
        <v>69</v>
      </c>
      <c r="K17" t="s">
        <v>15</v>
      </c>
      <c r="L17" t="s">
        <v>60</v>
      </c>
      <c r="M17" t="s">
        <v>24</v>
      </c>
      <c r="N17">
        <v>0</v>
      </c>
      <c r="O17">
        <v>0</v>
      </c>
    </row>
    <row r="18" spans="1:15" x14ac:dyDescent="0.3">
      <c r="A18" t="s">
        <v>75</v>
      </c>
      <c r="B18" s="1">
        <v>46086</v>
      </c>
      <c r="C18" t="s">
        <v>56</v>
      </c>
      <c r="D18" t="s">
        <v>125</v>
      </c>
      <c r="E18">
        <v>180000</v>
      </c>
      <c r="F18" t="s">
        <v>12</v>
      </c>
      <c r="G18">
        <v>1.18E-2</v>
      </c>
      <c r="H18" s="6">
        <v>2124</v>
      </c>
      <c r="I18" t="s">
        <v>76</v>
      </c>
      <c r="J18">
        <v>72</v>
      </c>
      <c r="K18" t="s">
        <v>15</v>
      </c>
      <c r="L18" t="s">
        <v>60</v>
      </c>
      <c r="M18" t="s">
        <v>24</v>
      </c>
      <c r="N18">
        <v>0</v>
      </c>
      <c r="O18">
        <v>1</v>
      </c>
    </row>
    <row r="19" spans="1:15" x14ac:dyDescent="0.3">
      <c r="A19" t="s">
        <v>78</v>
      </c>
      <c r="B19" s="1">
        <v>46086</v>
      </c>
      <c r="C19" t="s">
        <v>56</v>
      </c>
      <c r="D19" t="s">
        <v>125</v>
      </c>
      <c r="E19">
        <v>145000</v>
      </c>
      <c r="F19" t="s">
        <v>12</v>
      </c>
      <c r="G19">
        <v>1.18E-2</v>
      </c>
      <c r="H19" s="6">
        <v>1711</v>
      </c>
      <c r="I19" t="s">
        <v>151</v>
      </c>
      <c r="J19">
        <v>86</v>
      </c>
      <c r="K19" t="s">
        <v>15</v>
      </c>
      <c r="L19" t="s">
        <v>60</v>
      </c>
      <c r="M19" t="s">
        <v>17</v>
      </c>
      <c r="N19">
        <v>0</v>
      </c>
      <c r="O19">
        <v>1</v>
      </c>
    </row>
    <row r="20" spans="1:15" x14ac:dyDescent="0.3">
      <c r="A20" t="s">
        <v>81</v>
      </c>
      <c r="B20" s="1">
        <v>46086</v>
      </c>
      <c r="C20" t="s">
        <v>39</v>
      </c>
      <c r="D20" t="s">
        <v>122</v>
      </c>
      <c r="E20">
        <v>260000</v>
      </c>
      <c r="F20" t="s">
        <v>12</v>
      </c>
      <c r="G20">
        <v>1.18E-2</v>
      </c>
      <c r="H20" s="6">
        <v>3068</v>
      </c>
      <c r="I20" t="s">
        <v>76</v>
      </c>
      <c r="J20">
        <v>67</v>
      </c>
      <c r="K20" t="s">
        <v>15</v>
      </c>
      <c r="L20" t="s">
        <v>60</v>
      </c>
      <c r="M20" t="s">
        <v>44</v>
      </c>
      <c r="N20">
        <v>0</v>
      </c>
      <c r="O20">
        <v>0</v>
      </c>
    </row>
    <row r="21" spans="1:15" x14ac:dyDescent="0.3">
      <c r="A21" t="s">
        <v>83</v>
      </c>
      <c r="B21" s="1">
        <v>46086</v>
      </c>
      <c r="C21" t="s">
        <v>39</v>
      </c>
      <c r="D21" t="s">
        <v>122</v>
      </c>
      <c r="E21">
        <v>520000</v>
      </c>
      <c r="F21" t="s">
        <v>12</v>
      </c>
      <c r="G21">
        <v>1.18E-2</v>
      </c>
      <c r="H21" s="6">
        <v>6136</v>
      </c>
      <c r="I21" t="s">
        <v>150</v>
      </c>
      <c r="J21">
        <v>75</v>
      </c>
      <c r="K21" t="s">
        <v>15</v>
      </c>
      <c r="L21" t="s">
        <v>43</v>
      </c>
      <c r="M21" t="s">
        <v>17</v>
      </c>
      <c r="N21">
        <v>1</v>
      </c>
      <c r="O21">
        <v>1</v>
      </c>
    </row>
    <row r="22" spans="1:15" x14ac:dyDescent="0.3">
      <c r="A22" t="s">
        <v>85</v>
      </c>
      <c r="B22" s="1">
        <v>46087</v>
      </c>
      <c r="C22" t="s">
        <v>56</v>
      </c>
      <c r="D22" t="s">
        <v>125</v>
      </c>
      <c r="E22">
        <v>330000</v>
      </c>
      <c r="F22" t="s">
        <v>12</v>
      </c>
      <c r="G22">
        <v>1.1900000000000001E-2</v>
      </c>
      <c r="H22" s="6">
        <v>3927</v>
      </c>
      <c r="I22" t="s">
        <v>150</v>
      </c>
      <c r="J22">
        <v>63</v>
      </c>
      <c r="K22" t="s">
        <v>15</v>
      </c>
      <c r="L22" t="s">
        <v>49</v>
      </c>
      <c r="M22" t="s">
        <v>24</v>
      </c>
      <c r="N22">
        <v>0</v>
      </c>
      <c r="O22">
        <v>0</v>
      </c>
    </row>
    <row r="23" spans="1:15" x14ac:dyDescent="0.3">
      <c r="A23" t="s">
        <v>88</v>
      </c>
      <c r="B23" s="1">
        <v>46087</v>
      </c>
      <c r="C23" t="s">
        <v>39</v>
      </c>
      <c r="D23" t="s">
        <v>122</v>
      </c>
      <c r="E23">
        <v>410000</v>
      </c>
      <c r="F23" t="s">
        <v>12</v>
      </c>
      <c r="G23">
        <v>1.1900000000000001E-2</v>
      </c>
      <c r="H23" s="6">
        <v>4879</v>
      </c>
      <c r="I23" t="s">
        <v>150</v>
      </c>
      <c r="J23">
        <v>60</v>
      </c>
      <c r="K23" t="s">
        <v>98</v>
      </c>
      <c r="L23" t="s">
        <v>52</v>
      </c>
      <c r="M23" t="s">
        <v>17</v>
      </c>
      <c r="N23">
        <v>0</v>
      </c>
      <c r="O23">
        <v>0</v>
      </c>
    </row>
    <row r="24" spans="1:15" x14ac:dyDescent="0.3">
      <c r="A24" t="s">
        <v>90</v>
      </c>
      <c r="B24" s="1">
        <v>46082</v>
      </c>
      <c r="C24" t="s">
        <v>91</v>
      </c>
      <c r="D24" t="s">
        <v>128</v>
      </c>
      <c r="E24">
        <v>5200</v>
      </c>
      <c r="F24" t="s">
        <v>92</v>
      </c>
      <c r="G24">
        <v>1.08</v>
      </c>
      <c r="H24" s="6">
        <v>5616</v>
      </c>
      <c r="I24" t="s">
        <v>150</v>
      </c>
      <c r="J24">
        <v>42</v>
      </c>
      <c r="K24" t="s">
        <v>98</v>
      </c>
      <c r="L24" t="s">
        <v>30</v>
      </c>
      <c r="M24" t="s">
        <v>24</v>
      </c>
      <c r="N24">
        <v>0</v>
      </c>
      <c r="O24">
        <v>0</v>
      </c>
    </row>
    <row r="25" spans="1:15" x14ac:dyDescent="0.3">
      <c r="A25" t="s">
        <v>95</v>
      </c>
      <c r="B25" s="1">
        <v>46083</v>
      </c>
      <c r="C25" t="s">
        <v>96</v>
      </c>
      <c r="D25" t="s">
        <v>134</v>
      </c>
      <c r="E25">
        <v>6100</v>
      </c>
      <c r="F25" t="s">
        <v>92</v>
      </c>
      <c r="G25">
        <v>1.0900000000000001</v>
      </c>
      <c r="H25" s="6">
        <v>6649</v>
      </c>
      <c r="I25" t="s">
        <v>151</v>
      </c>
      <c r="J25">
        <v>65</v>
      </c>
      <c r="K25" t="s">
        <v>98</v>
      </c>
      <c r="L25" t="s">
        <v>37</v>
      </c>
      <c r="M25" t="s">
        <v>24</v>
      </c>
      <c r="N25">
        <v>1</v>
      </c>
      <c r="O25">
        <v>1</v>
      </c>
    </row>
    <row r="26" spans="1:15" x14ac:dyDescent="0.3">
      <c r="A26" t="s">
        <v>99</v>
      </c>
      <c r="B26" s="1">
        <v>46084</v>
      </c>
      <c r="C26" t="s">
        <v>91</v>
      </c>
      <c r="D26" t="s">
        <v>128</v>
      </c>
      <c r="E26">
        <v>2800</v>
      </c>
      <c r="F26" t="s">
        <v>92</v>
      </c>
      <c r="G26">
        <v>1.08</v>
      </c>
      <c r="H26" s="6">
        <v>3024</v>
      </c>
      <c r="I26" t="s">
        <v>150</v>
      </c>
      <c r="J26">
        <v>38</v>
      </c>
      <c r="K26" t="s">
        <v>98</v>
      </c>
      <c r="L26" t="s">
        <v>43</v>
      </c>
      <c r="M26" t="s">
        <v>44</v>
      </c>
      <c r="N26">
        <v>0</v>
      </c>
      <c r="O26">
        <v>0</v>
      </c>
    </row>
    <row r="27" spans="1:15" x14ac:dyDescent="0.3">
      <c r="A27" t="s">
        <v>102</v>
      </c>
      <c r="B27" s="1">
        <v>46086</v>
      </c>
      <c r="C27" t="s">
        <v>96</v>
      </c>
      <c r="D27" t="s">
        <v>134</v>
      </c>
      <c r="E27">
        <v>3300</v>
      </c>
      <c r="F27" t="s">
        <v>92</v>
      </c>
      <c r="G27">
        <v>1.0900000000000001</v>
      </c>
      <c r="H27" s="6">
        <v>3597</v>
      </c>
      <c r="I27" t="s">
        <v>76</v>
      </c>
      <c r="J27">
        <v>44</v>
      </c>
      <c r="K27" t="s">
        <v>112</v>
      </c>
      <c r="L27" t="s">
        <v>49</v>
      </c>
      <c r="M27" t="s">
        <v>31</v>
      </c>
      <c r="N27">
        <v>0</v>
      </c>
      <c r="O27">
        <v>0</v>
      </c>
    </row>
    <row r="28" spans="1:15" x14ac:dyDescent="0.3">
      <c r="A28" t="s">
        <v>104</v>
      </c>
      <c r="B28" s="1">
        <v>46082</v>
      </c>
      <c r="C28" t="s">
        <v>110</v>
      </c>
      <c r="D28" t="s">
        <v>131</v>
      </c>
      <c r="E28">
        <v>7200</v>
      </c>
      <c r="F28" t="s">
        <v>106</v>
      </c>
      <c r="G28">
        <v>1</v>
      </c>
      <c r="H28" s="6">
        <v>7200</v>
      </c>
      <c r="I28" t="s">
        <v>150</v>
      </c>
      <c r="J28">
        <v>49</v>
      </c>
      <c r="K28" t="s">
        <v>112</v>
      </c>
      <c r="L28" t="s">
        <v>52</v>
      </c>
      <c r="M28" t="s">
        <v>24</v>
      </c>
      <c r="N28">
        <v>1</v>
      </c>
      <c r="O28">
        <v>0</v>
      </c>
    </row>
    <row r="29" spans="1:15" x14ac:dyDescent="0.3">
      <c r="A29" t="s">
        <v>109</v>
      </c>
      <c r="B29" s="1">
        <v>46083</v>
      </c>
      <c r="C29" t="s">
        <v>110</v>
      </c>
      <c r="D29" t="s">
        <v>131</v>
      </c>
      <c r="E29">
        <v>3100</v>
      </c>
      <c r="F29" t="s">
        <v>106</v>
      </c>
      <c r="G29">
        <v>1</v>
      </c>
      <c r="H29" s="6">
        <v>3100</v>
      </c>
      <c r="I29" t="s">
        <v>150</v>
      </c>
      <c r="J29">
        <v>41</v>
      </c>
      <c r="K29" t="s">
        <v>112</v>
      </c>
      <c r="L29" t="s">
        <v>60</v>
      </c>
      <c r="M29" t="s">
        <v>24</v>
      </c>
      <c r="N29">
        <v>0</v>
      </c>
      <c r="O29">
        <v>0</v>
      </c>
    </row>
    <row r="30" spans="1:15" x14ac:dyDescent="0.3">
      <c r="A30" t="s">
        <v>113</v>
      </c>
      <c r="B30" s="1">
        <v>46085</v>
      </c>
      <c r="C30" t="s">
        <v>110</v>
      </c>
      <c r="D30" t="s">
        <v>131</v>
      </c>
      <c r="E30">
        <v>2500</v>
      </c>
      <c r="F30" t="s">
        <v>106</v>
      </c>
      <c r="G30">
        <v>1</v>
      </c>
      <c r="H30" s="6">
        <v>2500</v>
      </c>
      <c r="I30" t="s">
        <v>151</v>
      </c>
      <c r="J30">
        <v>58</v>
      </c>
      <c r="K30" t="s">
        <v>112</v>
      </c>
      <c r="L30" t="s">
        <v>64</v>
      </c>
      <c r="M30" t="s">
        <v>44</v>
      </c>
      <c r="N30">
        <v>0</v>
      </c>
      <c r="O30">
        <v>1</v>
      </c>
    </row>
    <row r="31" spans="1:15" x14ac:dyDescent="0.3">
      <c r="A31" t="s">
        <v>116</v>
      </c>
      <c r="B31" s="1">
        <v>46087</v>
      </c>
      <c r="C31" t="s">
        <v>110</v>
      </c>
      <c r="D31" t="s">
        <v>131</v>
      </c>
      <c r="E31">
        <v>1800</v>
      </c>
      <c r="F31" t="s">
        <v>106</v>
      </c>
      <c r="G31">
        <v>1</v>
      </c>
      <c r="H31" s="6">
        <v>1800</v>
      </c>
      <c r="I31" t="s">
        <v>76</v>
      </c>
      <c r="J31">
        <v>47</v>
      </c>
      <c r="K31" t="s">
        <v>112</v>
      </c>
      <c r="L31" t="s">
        <v>67</v>
      </c>
      <c r="M31" t="s">
        <v>17</v>
      </c>
      <c r="N31">
        <v>0</v>
      </c>
      <c r="O3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69CE-7162-4F85-8487-CCC292361CFC}">
  <dimension ref="A1:F16"/>
  <sheetViews>
    <sheetView tabSelected="1" workbookViewId="0">
      <selection activeCell="B13" sqref="B13"/>
    </sheetView>
  </sheetViews>
  <sheetFormatPr defaultRowHeight="14.4" x14ac:dyDescent="0.3"/>
  <cols>
    <col min="1" max="1" width="18.33203125" customWidth="1"/>
    <col min="2" max="2" width="16.6640625" bestFit="1" customWidth="1"/>
    <col min="3" max="3" width="18.33203125" bestFit="1" customWidth="1"/>
    <col min="4" max="4" width="20" bestFit="1" customWidth="1"/>
    <col min="5" max="5" width="18.33203125" bestFit="1" customWidth="1"/>
    <col min="6" max="7" width="20" bestFit="1" customWidth="1"/>
    <col min="8" max="8" width="8.5546875" bestFit="1" customWidth="1"/>
    <col min="9" max="9" width="7.5546875" bestFit="1" customWidth="1"/>
    <col min="10" max="11" width="8.5546875" bestFit="1" customWidth="1"/>
    <col min="12" max="12" width="19.109375" bestFit="1" customWidth="1"/>
    <col min="13" max="16" width="5.77734375" bestFit="1" customWidth="1"/>
    <col min="17" max="17" width="19.33203125" bestFit="1" customWidth="1"/>
    <col min="18" max="21" width="5.77734375" bestFit="1" customWidth="1"/>
    <col min="22" max="22" width="21" bestFit="1" customWidth="1"/>
    <col min="23" max="26" width="5.77734375" bestFit="1" customWidth="1"/>
    <col min="27" max="27" width="25.88671875" bestFit="1" customWidth="1"/>
    <col min="28" max="28" width="23.109375" bestFit="1" customWidth="1"/>
    <col min="29" max="29" width="23.88671875" bestFit="1" customWidth="1"/>
    <col min="30" max="30" width="24.109375" bestFit="1" customWidth="1"/>
    <col min="31" max="31" width="25.88671875" bestFit="1" customWidth="1"/>
  </cols>
  <sheetData>
    <row r="1" spans="1:6" ht="18" x14ac:dyDescent="0.35">
      <c r="A1" s="12" t="s">
        <v>158</v>
      </c>
      <c r="B1" s="11"/>
      <c r="C1" s="11"/>
      <c r="D1" s="11"/>
      <c r="E1" s="11"/>
      <c r="F1" s="11"/>
    </row>
    <row r="2" spans="1:6" x14ac:dyDescent="0.3">
      <c r="A2" s="8" t="s">
        <v>2</v>
      </c>
      <c r="B2" t="s">
        <v>153</v>
      </c>
      <c r="C2" t="s">
        <v>160</v>
      </c>
      <c r="D2" t="s">
        <v>154</v>
      </c>
      <c r="E2" t="s">
        <v>155</v>
      </c>
      <c r="F2" t="s">
        <v>156</v>
      </c>
    </row>
    <row r="3" spans="1:6" x14ac:dyDescent="0.3">
      <c r="A3" t="s">
        <v>56</v>
      </c>
      <c r="B3" s="9">
        <v>11</v>
      </c>
      <c r="C3" s="6">
        <v>41782</v>
      </c>
      <c r="D3" s="6">
        <v>69.36363636363636</v>
      </c>
      <c r="E3" s="9">
        <v>5</v>
      </c>
      <c r="F3" s="9">
        <v>3</v>
      </c>
    </row>
    <row r="4" spans="1:6" x14ac:dyDescent="0.3">
      <c r="A4" t="s">
        <v>39</v>
      </c>
      <c r="B4" s="9">
        <v>11</v>
      </c>
      <c r="C4" s="6">
        <v>40812</v>
      </c>
      <c r="D4" s="6">
        <v>61.2</v>
      </c>
      <c r="E4" s="9">
        <v>3</v>
      </c>
      <c r="F4" s="9">
        <v>2</v>
      </c>
    </row>
    <row r="5" spans="1:6" x14ac:dyDescent="0.3">
      <c r="A5" t="s">
        <v>110</v>
      </c>
      <c r="B5" s="9">
        <v>4</v>
      </c>
      <c r="C5" s="6">
        <v>14600</v>
      </c>
      <c r="D5" s="6">
        <v>48.75</v>
      </c>
      <c r="E5" s="9">
        <v>1</v>
      </c>
      <c r="F5" s="9">
        <v>1</v>
      </c>
    </row>
    <row r="6" spans="1:6" x14ac:dyDescent="0.3">
      <c r="A6" t="s">
        <v>96</v>
      </c>
      <c r="B6" s="9">
        <v>2</v>
      </c>
      <c r="C6" s="6">
        <v>10246</v>
      </c>
      <c r="D6" s="6">
        <v>54.5</v>
      </c>
      <c r="E6" s="9">
        <v>1</v>
      </c>
      <c r="F6" s="9">
        <v>1</v>
      </c>
    </row>
    <row r="7" spans="1:6" x14ac:dyDescent="0.3">
      <c r="A7" t="s">
        <v>91</v>
      </c>
      <c r="B7" s="9">
        <v>2</v>
      </c>
      <c r="C7" s="6">
        <v>8640</v>
      </c>
      <c r="D7" s="6">
        <v>40</v>
      </c>
      <c r="E7" s="9">
        <v>0</v>
      </c>
      <c r="F7" s="9">
        <v>0</v>
      </c>
    </row>
    <row r="8" spans="1:6" x14ac:dyDescent="0.3">
      <c r="A8" t="s">
        <v>152</v>
      </c>
      <c r="B8" s="9">
        <v>30</v>
      </c>
      <c r="C8" s="6">
        <v>116080</v>
      </c>
      <c r="D8" s="6">
        <v>60.655172413793103</v>
      </c>
      <c r="E8" s="9">
        <v>10</v>
      </c>
      <c r="F8" s="9">
        <v>7</v>
      </c>
    </row>
    <row r="11" spans="1:6" ht="18" x14ac:dyDescent="0.35">
      <c r="A11" s="12" t="s">
        <v>157</v>
      </c>
      <c r="B11" s="12"/>
      <c r="C11" s="12"/>
      <c r="D11" s="12"/>
    </row>
    <row r="12" spans="1:6" x14ac:dyDescent="0.3">
      <c r="A12" s="8" t="s">
        <v>159</v>
      </c>
      <c r="B12" t="s">
        <v>160</v>
      </c>
      <c r="C12" t="s">
        <v>155</v>
      </c>
      <c r="D12" t="s">
        <v>156</v>
      </c>
    </row>
    <row r="13" spans="1:6" x14ac:dyDescent="0.3">
      <c r="A13" s="10" t="s">
        <v>15</v>
      </c>
      <c r="B13" s="6">
        <v>77715</v>
      </c>
      <c r="C13" s="9">
        <v>8</v>
      </c>
      <c r="D13" s="9">
        <v>5</v>
      </c>
    </row>
    <row r="14" spans="1:6" x14ac:dyDescent="0.3">
      <c r="A14" s="10" t="s">
        <v>98</v>
      </c>
      <c r="B14" s="6">
        <v>20168</v>
      </c>
      <c r="C14" s="9">
        <v>1</v>
      </c>
      <c r="D14" s="9">
        <v>1</v>
      </c>
    </row>
    <row r="15" spans="1:6" x14ac:dyDescent="0.3">
      <c r="A15" s="10" t="s">
        <v>112</v>
      </c>
      <c r="B15" s="6">
        <v>18197</v>
      </c>
      <c r="C15" s="9">
        <v>1</v>
      </c>
      <c r="D15" s="9">
        <v>1</v>
      </c>
    </row>
    <row r="16" spans="1:6" x14ac:dyDescent="0.3">
      <c r="A16" s="10" t="s">
        <v>152</v>
      </c>
      <c r="B16" s="6">
        <v>116080</v>
      </c>
      <c r="C16" s="9">
        <v>10</v>
      </c>
      <c r="D16" s="9">
        <v>7</v>
      </c>
    </row>
  </sheetData>
  <mergeCells count="2">
    <mergeCell ref="A11:D11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B317-C23B-4DF2-8BE5-B4B8829BA11C}">
  <dimension ref="A1:F14"/>
  <sheetViews>
    <sheetView workbookViewId="0">
      <selection activeCell="B12" sqref="B12"/>
    </sheetView>
  </sheetViews>
  <sheetFormatPr defaultRowHeight="14.4" x14ac:dyDescent="0.3"/>
  <cols>
    <col min="1" max="1" width="14.44140625" bestFit="1" customWidth="1"/>
    <col min="2" max="2" width="16" bestFit="1" customWidth="1"/>
    <col min="3" max="3" width="18.6640625" style="6" bestFit="1" customWidth="1"/>
    <col min="4" max="4" width="16.77734375" style="6" bestFit="1" customWidth="1"/>
    <col min="5" max="5" width="17.5546875" bestFit="1" customWidth="1"/>
    <col min="6" max="6" width="19.109375" bestFit="1" customWidth="1"/>
  </cols>
  <sheetData>
    <row r="1" spans="1:6" x14ac:dyDescent="0.3">
      <c r="A1" t="s">
        <v>158</v>
      </c>
    </row>
    <row r="2" spans="1:6" x14ac:dyDescent="0.3">
      <c r="A2" t="s">
        <v>2</v>
      </c>
      <c r="B2" t="s">
        <v>153</v>
      </c>
      <c r="C2" s="6" t="s">
        <v>160</v>
      </c>
      <c r="D2" s="6" t="s">
        <v>154</v>
      </c>
      <c r="E2" t="s">
        <v>155</v>
      </c>
      <c r="F2" t="s">
        <v>156</v>
      </c>
    </row>
    <row r="3" spans="1:6" x14ac:dyDescent="0.3">
      <c r="A3" t="s">
        <v>56</v>
      </c>
      <c r="B3">
        <v>11</v>
      </c>
      <c r="C3" s="6">
        <v>41782</v>
      </c>
      <c r="D3" s="6">
        <v>69.36363636363636</v>
      </c>
      <c r="E3">
        <v>5</v>
      </c>
      <c r="F3">
        <v>3</v>
      </c>
    </row>
    <row r="4" spans="1:6" x14ac:dyDescent="0.3">
      <c r="A4" t="s">
        <v>39</v>
      </c>
      <c r="B4">
        <v>11</v>
      </c>
      <c r="C4" s="6">
        <v>40812</v>
      </c>
      <c r="D4" s="6">
        <v>61.2</v>
      </c>
      <c r="E4">
        <v>3</v>
      </c>
      <c r="F4">
        <v>2</v>
      </c>
    </row>
    <row r="5" spans="1:6" x14ac:dyDescent="0.3">
      <c r="A5" t="s">
        <v>110</v>
      </c>
      <c r="B5">
        <v>4</v>
      </c>
      <c r="C5" s="6">
        <v>14600</v>
      </c>
      <c r="D5" s="6">
        <v>48.75</v>
      </c>
      <c r="E5">
        <v>1</v>
      </c>
      <c r="F5">
        <v>1</v>
      </c>
    </row>
    <row r="6" spans="1:6" x14ac:dyDescent="0.3">
      <c r="A6" t="s">
        <v>96</v>
      </c>
      <c r="B6">
        <v>2</v>
      </c>
      <c r="C6" s="6">
        <v>10246</v>
      </c>
      <c r="D6" s="6">
        <v>54.5</v>
      </c>
      <c r="E6">
        <v>1</v>
      </c>
      <c r="F6">
        <v>1</v>
      </c>
    </row>
    <row r="7" spans="1:6" x14ac:dyDescent="0.3">
      <c r="A7" t="s">
        <v>91</v>
      </c>
      <c r="B7">
        <v>2</v>
      </c>
      <c r="C7" s="6">
        <v>8640</v>
      </c>
      <c r="D7" s="6">
        <v>40</v>
      </c>
      <c r="E7">
        <v>0</v>
      </c>
      <c r="F7">
        <v>0</v>
      </c>
    </row>
    <row r="10" spans="1:6" x14ac:dyDescent="0.3">
      <c r="A10" t="s">
        <v>157</v>
      </c>
    </row>
    <row r="11" spans="1:6" x14ac:dyDescent="0.3">
      <c r="A11" t="s">
        <v>159</v>
      </c>
      <c r="B11" t="s">
        <v>160</v>
      </c>
      <c r="C11" s="6" t="s">
        <v>155</v>
      </c>
      <c r="D11" s="6" t="s">
        <v>156</v>
      </c>
    </row>
    <row r="12" spans="1:6" x14ac:dyDescent="0.3">
      <c r="A12" t="s">
        <v>15</v>
      </c>
      <c r="B12" s="6">
        <v>77715</v>
      </c>
      <c r="C12" s="13">
        <v>8</v>
      </c>
      <c r="D12" s="13">
        <v>5</v>
      </c>
    </row>
    <row r="13" spans="1:6" x14ac:dyDescent="0.3">
      <c r="A13" t="s">
        <v>98</v>
      </c>
      <c r="B13" s="6">
        <v>20168</v>
      </c>
      <c r="C13" s="13">
        <v>1</v>
      </c>
      <c r="D13" s="13">
        <v>1</v>
      </c>
    </row>
    <row r="14" spans="1:6" x14ac:dyDescent="0.3">
      <c r="A14" t="s">
        <v>112</v>
      </c>
      <c r="B14" s="6">
        <v>18197</v>
      </c>
      <c r="C14" s="13">
        <v>1</v>
      </c>
      <c r="D14" s="1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580479-0836-4B4A-AD59-2CDE0FAD38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enriched_data</vt:lpstr>
      <vt:lpstr>merchant_master</vt:lpstr>
      <vt:lpstr>exchange_rates</vt:lpstr>
      <vt:lpstr>cleaned_transactions_export</vt:lpstr>
      <vt:lpstr>merchant_risk_summary</vt:lpstr>
      <vt:lpstr>merchant_risk_summary_export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BPKMSD3</dc:creator>
  <cp:lastModifiedBy>dell BPKMSD3</cp:lastModifiedBy>
  <dcterms:created xsi:type="dcterms:W3CDTF">2026-05-06T16:02:42Z</dcterms:created>
  <dcterms:modified xsi:type="dcterms:W3CDTF">2026-05-08T07:01:58Z</dcterms:modified>
</cp:coreProperties>
</file>